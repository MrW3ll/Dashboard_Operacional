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is_Campus_CallCenter\Sales Ops - Time Leonardo\Patric_Barbosa\documentação\python\Dash\"/>
    </mc:Choice>
  </mc:AlternateContent>
  <xr:revisionPtr revIDLastSave="0" documentId="13_ncr:1_{E2EA4914-41A5-4765-AF04-4FD1607D62CF}" xr6:coauthVersionLast="47" xr6:coauthVersionMax="47" xr10:uidLastSave="{00000000-0000-0000-0000-000000000000}"/>
  <bookViews>
    <workbookView xWindow="-19310" yWindow="-110" windowWidth="19420" windowHeight="11020" activeTab="1" xr2:uid="{82A72739-14D8-48B0-A7D6-D1C1F3117457}"/>
  </bookViews>
  <sheets>
    <sheet name="Planilha1" sheetId="1" r:id="rId1"/>
    <sheet name="meta_d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41" i="2" l="1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71" i="2" l="1"/>
  <c r="J71" i="2" s="1"/>
  <c r="E2" i="2"/>
  <c r="J2" i="2" s="1"/>
  <c r="E241" i="2"/>
  <c r="J241" i="2" s="1"/>
  <c r="E240" i="2"/>
  <c r="J240" i="2" s="1"/>
  <c r="E239" i="2"/>
  <c r="J239" i="2" s="1"/>
  <c r="E238" i="2"/>
  <c r="J238" i="2" s="1"/>
  <c r="E237" i="2"/>
  <c r="J237" i="2" s="1"/>
  <c r="E236" i="2"/>
  <c r="J236" i="2" s="1"/>
  <c r="E235" i="2"/>
  <c r="J235" i="2" s="1"/>
  <c r="E234" i="2"/>
  <c r="J234" i="2" s="1"/>
  <c r="E233" i="2"/>
  <c r="J233" i="2" s="1"/>
  <c r="E232" i="2"/>
  <c r="J232" i="2" s="1"/>
  <c r="E231" i="2"/>
  <c r="J231" i="2" s="1"/>
  <c r="E230" i="2"/>
  <c r="J230" i="2" s="1"/>
  <c r="E229" i="2"/>
  <c r="J229" i="2" s="1"/>
  <c r="E228" i="2"/>
  <c r="J228" i="2" s="1"/>
  <c r="E227" i="2"/>
  <c r="J227" i="2" s="1"/>
  <c r="E226" i="2"/>
  <c r="J226" i="2" s="1"/>
  <c r="E225" i="2"/>
  <c r="J225" i="2" s="1"/>
  <c r="E224" i="2"/>
  <c r="J224" i="2" s="1"/>
  <c r="E223" i="2"/>
  <c r="J223" i="2" s="1"/>
  <c r="E222" i="2"/>
  <c r="J222" i="2" s="1"/>
  <c r="E221" i="2"/>
  <c r="J221" i="2" s="1"/>
  <c r="E220" i="2"/>
  <c r="J220" i="2" s="1"/>
  <c r="E219" i="2"/>
  <c r="J219" i="2" s="1"/>
  <c r="E218" i="2"/>
  <c r="J218" i="2" s="1"/>
  <c r="E217" i="2"/>
  <c r="J217" i="2" s="1"/>
  <c r="E216" i="2"/>
  <c r="J216" i="2" s="1"/>
  <c r="E215" i="2"/>
  <c r="J215" i="2" s="1"/>
  <c r="E214" i="2"/>
  <c r="J214" i="2" s="1"/>
  <c r="E213" i="2"/>
  <c r="J213" i="2" s="1"/>
  <c r="E212" i="2"/>
  <c r="J212" i="2" s="1"/>
  <c r="E211" i="2"/>
  <c r="J211" i="2" s="1"/>
  <c r="E210" i="2"/>
  <c r="J210" i="2" s="1"/>
  <c r="E209" i="2"/>
  <c r="J209" i="2" s="1"/>
  <c r="E208" i="2"/>
  <c r="J208" i="2" s="1"/>
  <c r="E207" i="2"/>
  <c r="J207" i="2" s="1"/>
  <c r="E206" i="2"/>
  <c r="J206" i="2" s="1"/>
  <c r="E205" i="2"/>
  <c r="J205" i="2" s="1"/>
  <c r="E204" i="2"/>
  <c r="J204" i="2" s="1"/>
  <c r="E203" i="2"/>
  <c r="J203" i="2" s="1"/>
  <c r="E202" i="2"/>
  <c r="J202" i="2" s="1"/>
  <c r="E201" i="2"/>
  <c r="J201" i="2" s="1"/>
  <c r="E200" i="2"/>
  <c r="J200" i="2" s="1"/>
  <c r="E199" i="2"/>
  <c r="J199" i="2" s="1"/>
  <c r="E198" i="2"/>
  <c r="J198" i="2" s="1"/>
  <c r="E197" i="2"/>
  <c r="J197" i="2" s="1"/>
  <c r="E196" i="2"/>
  <c r="J196" i="2" s="1"/>
  <c r="E195" i="2"/>
  <c r="J195" i="2" s="1"/>
  <c r="E194" i="2"/>
  <c r="J194" i="2" s="1"/>
  <c r="E193" i="2"/>
  <c r="J193" i="2" s="1"/>
  <c r="E192" i="2"/>
  <c r="J192" i="2" s="1"/>
  <c r="E191" i="2"/>
  <c r="J191" i="2" s="1"/>
  <c r="E190" i="2"/>
  <c r="J190" i="2" s="1"/>
  <c r="E189" i="2"/>
  <c r="J189" i="2" s="1"/>
  <c r="E188" i="2"/>
  <c r="J188" i="2" s="1"/>
  <c r="E187" i="2"/>
  <c r="J187" i="2" s="1"/>
  <c r="E186" i="2"/>
  <c r="J186" i="2" s="1"/>
  <c r="E185" i="2"/>
  <c r="J185" i="2" s="1"/>
  <c r="E184" i="2"/>
  <c r="J184" i="2" s="1"/>
  <c r="E183" i="2"/>
  <c r="J183" i="2" s="1"/>
  <c r="E182" i="2"/>
  <c r="J182" i="2" s="1"/>
  <c r="E181" i="2"/>
  <c r="J181" i="2" s="1"/>
  <c r="E180" i="2"/>
  <c r="J180" i="2" s="1"/>
  <c r="E179" i="2"/>
  <c r="J179" i="2" s="1"/>
  <c r="E178" i="2"/>
  <c r="J178" i="2" s="1"/>
  <c r="E177" i="2"/>
  <c r="J177" i="2" s="1"/>
  <c r="E176" i="2"/>
  <c r="J176" i="2" s="1"/>
  <c r="E175" i="2"/>
  <c r="J175" i="2" s="1"/>
  <c r="E174" i="2"/>
  <c r="J174" i="2" s="1"/>
  <c r="E173" i="2"/>
  <c r="J173" i="2" s="1"/>
  <c r="E172" i="2"/>
  <c r="J172" i="2" s="1"/>
  <c r="E171" i="2"/>
  <c r="J171" i="2" s="1"/>
  <c r="E170" i="2"/>
  <c r="J170" i="2" s="1"/>
  <c r="E169" i="2"/>
  <c r="J169" i="2" s="1"/>
  <c r="E168" i="2"/>
  <c r="J168" i="2" s="1"/>
  <c r="E167" i="2"/>
  <c r="J167" i="2" s="1"/>
  <c r="E166" i="2"/>
  <c r="J166" i="2" s="1"/>
  <c r="E165" i="2"/>
  <c r="J165" i="2" s="1"/>
  <c r="E164" i="2"/>
  <c r="J164" i="2" s="1"/>
  <c r="E163" i="2"/>
  <c r="J163" i="2" s="1"/>
  <c r="E162" i="2"/>
  <c r="J162" i="2" s="1"/>
  <c r="E161" i="2"/>
  <c r="J161" i="2" s="1"/>
  <c r="E160" i="2"/>
  <c r="J160" i="2" s="1"/>
  <c r="E159" i="2"/>
  <c r="J159" i="2" s="1"/>
  <c r="E158" i="2"/>
  <c r="J158" i="2" s="1"/>
  <c r="E157" i="2"/>
  <c r="J157" i="2" s="1"/>
  <c r="E156" i="2"/>
  <c r="J156" i="2" s="1"/>
  <c r="E155" i="2"/>
  <c r="J155" i="2" s="1"/>
  <c r="E154" i="2"/>
  <c r="J154" i="2" s="1"/>
  <c r="E153" i="2"/>
  <c r="J153" i="2" s="1"/>
  <c r="E152" i="2"/>
  <c r="J152" i="2" s="1"/>
  <c r="E151" i="2"/>
  <c r="J151" i="2" s="1"/>
  <c r="E150" i="2"/>
  <c r="J150" i="2" s="1"/>
  <c r="E149" i="2"/>
  <c r="J149" i="2" s="1"/>
  <c r="E148" i="2"/>
  <c r="J148" i="2" s="1"/>
  <c r="E147" i="2"/>
  <c r="J147" i="2" s="1"/>
  <c r="E146" i="2"/>
  <c r="J146" i="2" s="1"/>
  <c r="E145" i="2"/>
  <c r="J145" i="2" s="1"/>
  <c r="E144" i="2"/>
  <c r="J144" i="2" s="1"/>
  <c r="E143" i="2"/>
  <c r="J143" i="2" s="1"/>
  <c r="E142" i="2"/>
  <c r="J142" i="2" s="1"/>
  <c r="E141" i="2"/>
  <c r="J141" i="2" s="1"/>
  <c r="E140" i="2"/>
  <c r="J140" i="2" s="1"/>
  <c r="E139" i="2"/>
  <c r="J139" i="2" s="1"/>
  <c r="E138" i="2"/>
  <c r="J138" i="2" s="1"/>
  <c r="E137" i="2"/>
  <c r="J137" i="2" s="1"/>
  <c r="E136" i="2"/>
  <c r="J136" i="2" s="1"/>
  <c r="E135" i="2"/>
  <c r="J135" i="2" s="1"/>
  <c r="E134" i="2"/>
  <c r="J134" i="2" s="1"/>
  <c r="E133" i="2"/>
  <c r="J133" i="2" s="1"/>
  <c r="E132" i="2"/>
  <c r="J132" i="2" s="1"/>
  <c r="E131" i="2"/>
  <c r="J131" i="2" s="1"/>
  <c r="E130" i="2"/>
  <c r="J130" i="2" s="1"/>
  <c r="E129" i="2"/>
  <c r="J129" i="2" s="1"/>
  <c r="E127" i="2"/>
  <c r="J127" i="2" s="1"/>
  <c r="E125" i="2"/>
  <c r="J125" i="2" s="1"/>
  <c r="E124" i="2"/>
  <c r="J124" i="2" s="1"/>
  <c r="E123" i="2"/>
  <c r="J123" i="2" s="1"/>
  <c r="E122" i="2"/>
  <c r="J122" i="2" s="1"/>
  <c r="E121" i="2"/>
  <c r="J121" i="2" s="1"/>
  <c r="E120" i="2"/>
  <c r="J120" i="2" s="1"/>
  <c r="E119" i="2"/>
  <c r="J119" i="2" s="1"/>
  <c r="E118" i="2"/>
  <c r="J118" i="2" s="1"/>
  <c r="E117" i="2"/>
  <c r="J117" i="2" s="1"/>
  <c r="E116" i="2"/>
  <c r="J116" i="2" s="1"/>
  <c r="E114" i="2"/>
  <c r="J114" i="2" s="1"/>
  <c r="E111" i="2"/>
  <c r="J111" i="2" s="1"/>
  <c r="E109" i="2"/>
  <c r="J109" i="2" s="1"/>
  <c r="E106" i="2"/>
  <c r="J106" i="2" s="1"/>
  <c r="E104" i="2"/>
  <c r="J104" i="2" s="1"/>
  <c r="E102" i="2"/>
  <c r="J102" i="2" s="1"/>
  <c r="E100" i="2"/>
  <c r="J100" i="2" s="1"/>
  <c r="E98" i="2"/>
  <c r="J98" i="2" s="1"/>
  <c r="E96" i="2"/>
  <c r="J96" i="2" s="1"/>
  <c r="E94" i="2"/>
  <c r="J94" i="2" s="1"/>
  <c r="E91" i="2"/>
  <c r="J91" i="2" s="1"/>
  <c r="E89" i="2"/>
  <c r="J89" i="2" s="1"/>
  <c r="E87" i="2"/>
  <c r="J87" i="2" s="1"/>
  <c r="E85" i="2"/>
  <c r="J85" i="2" s="1"/>
  <c r="E83" i="2"/>
  <c r="J83" i="2" s="1"/>
  <c r="E81" i="2"/>
  <c r="J81" i="2" s="1"/>
  <c r="E79" i="2"/>
  <c r="J79" i="2" s="1"/>
  <c r="E77" i="2"/>
  <c r="J77" i="2" s="1"/>
  <c r="E75" i="2"/>
  <c r="J75" i="2" s="1"/>
  <c r="E73" i="2"/>
  <c r="J73" i="2" s="1"/>
  <c r="E70" i="2"/>
  <c r="J70" i="2" s="1"/>
  <c r="E68" i="2"/>
  <c r="J68" i="2" s="1"/>
  <c r="E66" i="2"/>
  <c r="J66" i="2" s="1"/>
  <c r="E64" i="2"/>
  <c r="J64" i="2" s="1"/>
  <c r="E62" i="2"/>
  <c r="J62" i="2" s="1"/>
  <c r="E61" i="2"/>
  <c r="J61" i="2" s="1"/>
  <c r="E60" i="2"/>
  <c r="J60" i="2" s="1"/>
  <c r="E57" i="2"/>
  <c r="J57" i="2" s="1"/>
  <c r="E55" i="2"/>
  <c r="J55" i="2" s="1"/>
  <c r="E53" i="2"/>
  <c r="J53" i="2" s="1"/>
  <c r="E51" i="2"/>
  <c r="J51" i="2" s="1"/>
  <c r="E49" i="2"/>
  <c r="J49" i="2" s="1"/>
  <c r="E47" i="2"/>
  <c r="J47" i="2" s="1"/>
  <c r="E45" i="2"/>
  <c r="J45" i="2" s="1"/>
  <c r="E43" i="2"/>
  <c r="J43" i="2" s="1"/>
  <c r="E41" i="2"/>
  <c r="J41" i="2" s="1"/>
  <c r="E39" i="2"/>
  <c r="J39" i="2" s="1"/>
  <c r="E36" i="2"/>
  <c r="J36" i="2" s="1"/>
  <c r="E34" i="2"/>
  <c r="J34" i="2" s="1"/>
  <c r="E32" i="2"/>
  <c r="J32" i="2" s="1"/>
  <c r="E30" i="2"/>
  <c r="J30" i="2" s="1"/>
  <c r="E28" i="2"/>
  <c r="J28" i="2" s="1"/>
  <c r="E27" i="2"/>
  <c r="J27" i="2" s="1"/>
  <c r="E24" i="2"/>
  <c r="J24" i="2" s="1"/>
  <c r="E20" i="2"/>
  <c r="J20" i="2" s="1"/>
  <c r="E12" i="2"/>
  <c r="J12" i="2" s="1"/>
  <c r="E22" i="2"/>
  <c r="J22" i="2" s="1"/>
  <c r="E18" i="2"/>
  <c r="J18" i="2" s="1"/>
  <c r="E17" i="2"/>
  <c r="J17" i="2" s="1"/>
  <c r="E16" i="2"/>
  <c r="J16" i="2" s="1"/>
  <c r="E15" i="2"/>
  <c r="J15" i="2" s="1"/>
  <c r="E9" i="2"/>
  <c r="J9" i="2" s="1"/>
  <c r="E8" i="2"/>
  <c r="J8" i="2" s="1"/>
  <c r="E5" i="2"/>
  <c r="J5" i="2" s="1"/>
  <c r="E128" i="2"/>
  <c r="J128" i="2" s="1"/>
  <c r="E126" i="2"/>
  <c r="J126" i="2" s="1"/>
  <c r="E115" i="2"/>
  <c r="J115" i="2" s="1"/>
  <c r="E113" i="2"/>
  <c r="J113" i="2" s="1"/>
  <c r="E112" i="2"/>
  <c r="J112" i="2" s="1"/>
  <c r="E110" i="2"/>
  <c r="J110" i="2" s="1"/>
  <c r="E108" i="2"/>
  <c r="J108" i="2" s="1"/>
  <c r="E107" i="2"/>
  <c r="J107" i="2" s="1"/>
  <c r="E105" i="2"/>
  <c r="J105" i="2" s="1"/>
  <c r="E103" i="2"/>
  <c r="J103" i="2" s="1"/>
  <c r="E101" i="2"/>
  <c r="J101" i="2" s="1"/>
  <c r="E99" i="2"/>
  <c r="J99" i="2" s="1"/>
  <c r="E97" i="2"/>
  <c r="J97" i="2" s="1"/>
  <c r="E95" i="2"/>
  <c r="J95" i="2" s="1"/>
  <c r="E93" i="2"/>
  <c r="J93" i="2" s="1"/>
  <c r="E92" i="2"/>
  <c r="J92" i="2" s="1"/>
  <c r="E90" i="2"/>
  <c r="J90" i="2" s="1"/>
  <c r="E88" i="2"/>
  <c r="J88" i="2" s="1"/>
  <c r="E86" i="2"/>
  <c r="J86" i="2" s="1"/>
  <c r="E84" i="2"/>
  <c r="J84" i="2" s="1"/>
  <c r="E82" i="2"/>
  <c r="J82" i="2" s="1"/>
  <c r="E80" i="2"/>
  <c r="J80" i="2" s="1"/>
  <c r="E78" i="2"/>
  <c r="J78" i="2" s="1"/>
  <c r="E76" i="2"/>
  <c r="J76" i="2" s="1"/>
  <c r="E74" i="2"/>
  <c r="J74" i="2" s="1"/>
  <c r="E72" i="2"/>
  <c r="J72" i="2" s="1"/>
  <c r="E69" i="2"/>
  <c r="J69" i="2" s="1"/>
  <c r="E67" i="2"/>
  <c r="J67" i="2" s="1"/>
  <c r="E65" i="2"/>
  <c r="J65" i="2" s="1"/>
  <c r="E63" i="2"/>
  <c r="J63" i="2" s="1"/>
  <c r="E59" i="2"/>
  <c r="J59" i="2" s="1"/>
  <c r="E58" i="2"/>
  <c r="J58" i="2" s="1"/>
  <c r="E56" i="2"/>
  <c r="J56" i="2" s="1"/>
  <c r="E54" i="2"/>
  <c r="J54" i="2" s="1"/>
  <c r="E52" i="2"/>
  <c r="J52" i="2" s="1"/>
  <c r="E50" i="2"/>
  <c r="J50" i="2" s="1"/>
  <c r="E48" i="2"/>
  <c r="J48" i="2" s="1"/>
  <c r="E46" i="2"/>
  <c r="J46" i="2" s="1"/>
  <c r="E44" i="2"/>
  <c r="J44" i="2" s="1"/>
  <c r="E42" i="2"/>
  <c r="J42" i="2" s="1"/>
  <c r="E40" i="2"/>
  <c r="J40" i="2" s="1"/>
  <c r="E38" i="2"/>
  <c r="J38" i="2" s="1"/>
  <c r="E37" i="2"/>
  <c r="J37" i="2" s="1"/>
  <c r="E35" i="2"/>
  <c r="J35" i="2" s="1"/>
  <c r="E33" i="2"/>
  <c r="J33" i="2" s="1"/>
  <c r="E31" i="2"/>
  <c r="J31" i="2" s="1"/>
  <c r="E29" i="2"/>
  <c r="J29" i="2" s="1"/>
  <c r="E26" i="2"/>
  <c r="J26" i="2" s="1"/>
  <c r="E25" i="2"/>
  <c r="J25" i="2" s="1"/>
  <c r="E23" i="2"/>
  <c r="J23" i="2" s="1"/>
  <c r="E21" i="2"/>
  <c r="J21" i="2" s="1"/>
  <c r="E19" i="2"/>
  <c r="J19" i="2" s="1"/>
  <c r="E14" i="2"/>
  <c r="J14" i="2" s="1"/>
  <c r="E13" i="2"/>
  <c r="J13" i="2" s="1"/>
  <c r="E11" i="2"/>
  <c r="J11" i="2" s="1"/>
  <c r="E10" i="2"/>
  <c r="J10" i="2" s="1"/>
  <c r="E7" i="2"/>
  <c r="J7" i="2" s="1"/>
  <c r="E6" i="2"/>
  <c r="J6" i="2" s="1"/>
  <c r="E4" i="2"/>
  <c r="J4" i="2" s="1"/>
  <c r="E3" i="2"/>
  <c r="J3" i="2" s="1"/>
  <c r="G240" i="2" l="1"/>
  <c r="G237" i="2"/>
  <c r="G234" i="2"/>
  <c r="G232" i="2"/>
  <c r="G230" i="2"/>
  <c r="G227" i="2"/>
  <c r="G225" i="2"/>
  <c r="G223" i="2"/>
  <c r="G221" i="2"/>
  <c r="G219" i="2"/>
  <c r="G217" i="2"/>
  <c r="G214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1" i="2"/>
  <c r="G188" i="2"/>
  <c r="G185" i="2"/>
  <c r="G183" i="2"/>
  <c r="G181" i="2"/>
  <c r="G179" i="2"/>
  <c r="G178" i="2"/>
  <c r="G176" i="2"/>
  <c r="G175" i="2"/>
  <c r="G174" i="2"/>
  <c r="G172" i="2"/>
  <c r="G170" i="2"/>
  <c r="G169" i="2"/>
  <c r="G166" i="2"/>
  <c r="G165" i="2"/>
  <c r="G162" i="2"/>
  <c r="G160" i="2"/>
  <c r="G159" i="2"/>
  <c r="G157" i="2"/>
  <c r="G155" i="2"/>
  <c r="G154" i="2"/>
  <c r="G152" i="2"/>
  <c r="G150" i="2"/>
  <c r="G149" i="2"/>
  <c r="G147" i="2"/>
  <c r="G145" i="2"/>
  <c r="G143" i="2"/>
  <c r="G140" i="2"/>
  <c r="G139" i="2"/>
  <c r="G136" i="2"/>
  <c r="G135" i="2"/>
  <c r="G133" i="2"/>
  <c r="G131" i="2"/>
  <c r="G128" i="2"/>
  <c r="G126" i="2"/>
  <c r="G124" i="2"/>
  <c r="G122" i="2"/>
  <c r="G121" i="2"/>
  <c r="G120" i="2"/>
  <c r="G117" i="2"/>
  <c r="G114" i="2"/>
  <c r="G112" i="2"/>
  <c r="G111" i="2"/>
  <c r="G109" i="2"/>
  <c r="G107" i="2"/>
  <c r="G106" i="2"/>
  <c r="G104" i="2"/>
  <c r="G102" i="2"/>
  <c r="G100" i="2"/>
  <c r="G98" i="2"/>
  <c r="G96" i="2"/>
  <c r="G94" i="2"/>
  <c r="G91" i="2"/>
  <c r="G89" i="2"/>
  <c r="G54" i="2"/>
  <c r="G50" i="2"/>
  <c r="G48" i="2"/>
  <c r="G46" i="2"/>
  <c r="G45" i="2"/>
  <c r="G43" i="2"/>
  <c r="G41" i="2"/>
  <c r="G39" i="2"/>
  <c r="G38" i="2"/>
  <c r="G34" i="2"/>
  <c r="G32" i="2"/>
  <c r="G29" i="2"/>
  <c r="G26" i="2"/>
  <c r="G24" i="2"/>
  <c r="G22" i="2"/>
  <c r="G19" i="2"/>
  <c r="G17" i="2"/>
  <c r="G15" i="2"/>
  <c r="G11" i="2"/>
  <c r="G7" i="2"/>
  <c r="G5" i="2"/>
  <c r="G2" i="2"/>
  <c r="G239" i="2"/>
  <c r="G238" i="2"/>
  <c r="G236" i="2"/>
  <c r="G235" i="2"/>
  <c r="G233" i="2"/>
  <c r="G231" i="2"/>
  <c r="G229" i="2"/>
  <c r="G228" i="2"/>
  <c r="G226" i="2"/>
  <c r="G224" i="2"/>
  <c r="G222" i="2"/>
  <c r="G220" i="2"/>
  <c r="G218" i="2"/>
  <c r="G216" i="2"/>
  <c r="G215" i="2"/>
  <c r="G213" i="2"/>
  <c r="G212" i="2"/>
  <c r="G192" i="2"/>
  <c r="G190" i="2"/>
  <c r="G189" i="2"/>
  <c r="G187" i="2"/>
  <c r="G186" i="2"/>
  <c r="G184" i="2"/>
  <c r="G182" i="2"/>
  <c r="G180" i="2"/>
  <c r="G177" i="2"/>
  <c r="G173" i="2"/>
  <c r="G171" i="2"/>
  <c r="G168" i="2"/>
  <c r="G167" i="2"/>
  <c r="G164" i="2"/>
  <c r="G163" i="2"/>
  <c r="G161" i="2"/>
  <c r="G158" i="2"/>
  <c r="G156" i="2"/>
  <c r="G153" i="2"/>
  <c r="G151" i="2"/>
  <c r="G148" i="2"/>
  <c r="G146" i="2"/>
  <c r="G144" i="2"/>
  <c r="G142" i="2"/>
  <c r="G141" i="2"/>
  <c r="G138" i="2"/>
  <c r="G137" i="2"/>
  <c r="G134" i="2"/>
  <c r="G132" i="2"/>
  <c r="G130" i="2"/>
  <c r="G129" i="2"/>
  <c r="G127" i="2"/>
  <c r="G125" i="2"/>
  <c r="G123" i="2"/>
  <c r="G119" i="2"/>
  <c r="G118" i="2"/>
  <c r="G116" i="2"/>
  <c r="G115" i="2"/>
  <c r="G113" i="2"/>
  <c r="G110" i="2"/>
  <c r="G108" i="2"/>
  <c r="G105" i="2"/>
  <c r="G103" i="2"/>
  <c r="G101" i="2"/>
  <c r="G99" i="2"/>
  <c r="G97" i="2"/>
  <c r="G95" i="2"/>
  <c r="G93" i="2"/>
  <c r="G92" i="2"/>
  <c r="G90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3" i="2"/>
  <c r="G51" i="2"/>
  <c r="G49" i="2"/>
  <c r="G47" i="2"/>
  <c r="G44" i="2"/>
  <c r="G42" i="2"/>
  <c r="G40" i="2"/>
  <c r="G37" i="2"/>
  <c r="G36" i="2"/>
  <c r="G33" i="2"/>
  <c r="G30" i="2"/>
  <c r="G27" i="2"/>
  <c r="G23" i="2"/>
  <c r="G20" i="2"/>
  <c r="G18" i="2"/>
  <c r="G14" i="2"/>
  <c r="G13" i="2"/>
  <c r="G10" i="2"/>
  <c r="G8" i="2"/>
  <c r="G3" i="2"/>
  <c r="G241" i="2"/>
  <c r="G52" i="2"/>
  <c r="G35" i="2"/>
  <c r="G31" i="2"/>
  <c r="G28" i="2"/>
  <c r="G25" i="2"/>
  <c r="G21" i="2"/>
  <c r="G16" i="2"/>
  <c r="G12" i="2"/>
  <c r="G9" i="2"/>
  <c r="G6" i="2"/>
  <c r="G4" i="2"/>
</calcChain>
</file>

<file path=xl/sharedStrings.xml><?xml version="1.0" encoding="utf-8"?>
<sst xmlns="http://schemas.openxmlformats.org/spreadsheetml/2006/main" count="297" uniqueCount="40">
  <si>
    <t>HCOR</t>
  </si>
  <si>
    <t>ESPM</t>
  </si>
  <si>
    <t>SECAD</t>
  </si>
  <si>
    <t>PUCPR DIGITAL</t>
  </si>
  <si>
    <t>Pós PUCRJ</t>
  </si>
  <si>
    <t>Pós PUCCAMPINAS</t>
  </si>
  <si>
    <t>DOM CABRAL</t>
  </si>
  <si>
    <t>Pós Artmed</t>
  </si>
  <si>
    <t>PUCRJ Collab</t>
  </si>
  <si>
    <t>Ies</t>
  </si>
  <si>
    <t>meta_vendas</t>
  </si>
  <si>
    <t>headcount</t>
  </si>
  <si>
    <t>meta_atendimento</t>
  </si>
  <si>
    <t>meta_dia</t>
  </si>
  <si>
    <t>meta_conversao</t>
  </si>
  <si>
    <t>GRADUAÇÃO</t>
  </si>
  <si>
    <t>IES</t>
  </si>
  <si>
    <t>Data</t>
  </si>
  <si>
    <t>meta_ies</t>
  </si>
  <si>
    <t>meta_cc</t>
  </si>
  <si>
    <t>FDC</t>
  </si>
  <si>
    <t>PUC-PR</t>
  </si>
  <si>
    <t>PUC-Rio</t>
  </si>
  <si>
    <t>Collab PUC Campinas</t>
  </si>
  <si>
    <t>Pós-Artmed</t>
  </si>
  <si>
    <t>Collab PUC Rio</t>
  </si>
  <si>
    <t>Graduação Premium</t>
  </si>
  <si>
    <t>Graduação Standard</t>
  </si>
  <si>
    <t>Artmed Academy</t>
  </si>
  <si>
    <t>Para</t>
  </si>
  <si>
    <t>Meta</t>
  </si>
  <si>
    <t>De</t>
  </si>
  <si>
    <t>HC</t>
  </si>
  <si>
    <t>hc_ativo</t>
  </si>
  <si>
    <t>meta_operador</t>
  </si>
  <si>
    <t>meta_mes_cc</t>
  </si>
  <si>
    <t>meta_conv</t>
  </si>
  <si>
    <t>multiplicador</t>
  </si>
  <si>
    <t>meta_ticket</t>
  </si>
  <si>
    <t>id_key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</si>
</sst>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10" fontId="0" fillId="0" borderId="0" xfId="0" applyNumberFormat="1"/>
    <xf numFmtId="16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0" xfId="0" applyAlignment="1">
      <alignment vertical="center" wrapText="1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9" fontId="0" fillId="3" borderId="0" xfId="1" applyFont="1" applyFill="1"/>
  </cellXfs>
  <cellStyles count="2">
    <cellStyle name="Normal" xfId="0" builtinId="0"/>
    <cellStyle name="Porcentagem" xfId="1" builtinId="5"/>
  </cellStyles>
  <dxfs count="6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71748-0740-4FE9-A99E-E3E2E29A7BE0}" name="Tabela1" displayName="Tabela1" ref="A1:K241" totalsRowShown="0">
  <autoFilter ref="A1:K241" xr:uid="{D6571748-0740-4FE9-A99E-E3E2E29A7BE0}"/>
  <tableColumns count="11">
    <tableColumn id="1" xr3:uid="{681E454C-8379-4432-9831-82E8AB8BA446}" name="IES"/>
    <tableColumn id="2" xr3:uid="{0D5FD80C-2DE2-4645-A2B3-892183809549}" name="Data" dataDxfId="5"/>
    <tableColumn id="3" xr3:uid="{A9873F3B-CC89-4255-8AD6-77CE5F70B994}" name="meta_ies"/>
    <tableColumn id="4" xr3:uid="{1C8BE984-7101-408B-9AE5-031FE4C9C0DB}" name="meta_mes_cc" dataDxfId="4" dataCellStyle="Porcentagem">
      <calculatedColumnFormula>_xlfn.XLOOKUP(A2,Planilha1!H:H,Planilha1!J:J)</calculatedColumnFormula>
    </tableColumn>
    <tableColumn id="5" xr3:uid="{203C55AA-F2AD-4A40-B13E-6DD14388B870}" name="meta_cc" dataDxfId="3">
      <calculatedColumnFormula>C2*D2</calculatedColumnFormula>
    </tableColumn>
    <tableColumn id="6" xr3:uid="{AA4D2FFE-7EFB-4EFF-81A8-0192FF39C049}" name="hc_ativo">
      <calculatedColumnFormula>_xlfn.XLOOKUP(A2,Planilha1!H:H,Planilha1!K:K)</calculatedColumnFormula>
    </tableColumn>
    <tableColumn id="7" xr3:uid="{7C39E9A9-F2A2-4621-9C55-2C113E5AA8A9}" name="meta_operador" dataDxfId="2">
      <calculatedColumnFormula>IFERROR(F2/E2,0)</calculatedColumnFormula>
    </tableColumn>
    <tableColumn id="8" xr3:uid="{DD10CD0C-398E-429B-994F-B7BD16FFC7CB}" name="meta_conversao" dataDxfId="1" dataCellStyle="Porcentagem">
      <calculatedColumnFormula>_xlfn.XLOOKUP(A2,Planilha1!H:H,Planilha1!L:L)</calculatedColumnFormula>
    </tableColumn>
    <tableColumn id="9" xr3:uid="{641926A1-0C65-407C-B515-B995FD3E0AD2}" name="multiplicador">
      <calculatedColumnFormula>_xlfn.XLOOKUP(A2,Planilha1!H:H,Planilha1!M:M)</calculatedColumnFormula>
    </tableColumn>
    <tableColumn id="10" xr3:uid="{F8ADA78E-5096-4244-86BA-6F998B0B3731}" name="meta_ticket" dataDxfId="0">
      <calculatedColumnFormula>(E2/H2)*I2</calculatedColumnFormula>
    </tableColumn>
    <tableColumn id="11" xr3:uid="{FD6DFC9F-63E1-4BAB-93E0-009A58AC1655}" name="id_key">
      <calculatedColumnFormula>_xlfn.CONCAT(A2,"_",B2)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BB80-2029-4CDC-9818-249A8DA7A43F}">
  <dimension ref="A1:M13"/>
  <sheetViews>
    <sheetView workbookViewId="0">
      <selection activeCell="M10" sqref="M10"/>
    </sheetView>
  </sheetViews>
  <sheetFormatPr defaultRowHeight="15" x14ac:dyDescent="0.25"/>
  <cols>
    <col min="1" max="1" width="19.85546875" bestFit="1" customWidth="1"/>
    <col min="2" max="2" width="10.85546875" bestFit="1" customWidth="1"/>
    <col min="3" max="3" width="11.5703125" bestFit="1" customWidth="1"/>
    <col min="4" max="4" width="10.28515625" bestFit="1" customWidth="1"/>
    <col min="5" max="5" width="12.85546875" bestFit="1" customWidth="1"/>
    <col min="8" max="8" width="19.140625" bestFit="1" customWidth="1"/>
    <col min="9" max="9" width="19.85546875" bestFit="1" customWidth="1"/>
    <col min="10" max="10" width="5.5703125" bestFit="1" customWidth="1"/>
  </cols>
  <sheetData>
    <row r="1" spans="1:13" x14ac:dyDescent="0.25">
      <c r="A1" t="s">
        <v>9</v>
      </c>
      <c r="B1" t="s">
        <v>11</v>
      </c>
      <c r="C1" t="s">
        <v>12</v>
      </c>
      <c r="D1" t="s">
        <v>14</v>
      </c>
      <c r="E1" t="s">
        <v>10</v>
      </c>
      <c r="F1" t="s">
        <v>13</v>
      </c>
      <c r="H1" t="s">
        <v>31</v>
      </c>
      <c r="I1" t="s">
        <v>29</v>
      </c>
      <c r="J1" t="s">
        <v>30</v>
      </c>
      <c r="K1" t="s">
        <v>32</v>
      </c>
      <c r="L1" t="s">
        <v>36</v>
      </c>
      <c r="M1" t="s">
        <v>37</v>
      </c>
    </row>
    <row r="2" spans="1:13" x14ac:dyDescent="0.25">
      <c r="A2" t="s">
        <v>3</v>
      </c>
      <c r="B2">
        <v>11</v>
      </c>
      <c r="C2" s="1">
        <v>596.52173913043475</v>
      </c>
      <c r="D2" s="2">
        <v>5.7500000000000002E-2</v>
      </c>
      <c r="E2">
        <v>686</v>
      </c>
      <c r="F2">
        <v>33</v>
      </c>
      <c r="H2" t="s">
        <v>3</v>
      </c>
      <c r="I2" t="s">
        <v>21</v>
      </c>
      <c r="J2" s="4">
        <v>0.7805428571428572</v>
      </c>
      <c r="K2">
        <v>10</v>
      </c>
      <c r="L2" s="2">
        <v>4.8000000000000001E-2</v>
      </c>
      <c r="M2" s="6">
        <v>1.32</v>
      </c>
    </row>
    <row r="3" spans="1:13" x14ac:dyDescent="0.25">
      <c r="A3" t="s">
        <v>4</v>
      </c>
      <c r="B3">
        <v>3</v>
      </c>
      <c r="C3" s="1">
        <v>149.03846153846155</v>
      </c>
      <c r="D3" s="2">
        <v>5.1999999999999998E-2</v>
      </c>
      <c r="E3">
        <v>155</v>
      </c>
      <c r="F3">
        <v>7</v>
      </c>
      <c r="H3" t="s">
        <v>4</v>
      </c>
      <c r="I3" t="s">
        <v>22</v>
      </c>
      <c r="J3" s="4">
        <v>0.8</v>
      </c>
      <c r="K3">
        <v>3</v>
      </c>
      <c r="L3" s="2">
        <v>5.1999999999999998E-2</v>
      </c>
      <c r="M3" s="6">
        <v>1.31</v>
      </c>
    </row>
    <row r="4" spans="1:13" x14ac:dyDescent="0.25">
      <c r="A4" t="s">
        <v>5</v>
      </c>
      <c r="B4">
        <v>9</v>
      </c>
      <c r="C4" s="1">
        <v>374.13793103448273</v>
      </c>
      <c r="D4" s="2">
        <v>5.8000000000000003E-2</v>
      </c>
      <c r="E4">
        <v>434</v>
      </c>
      <c r="F4">
        <v>21</v>
      </c>
      <c r="H4" t="s">
        <v>5</v>
      </c>
      <c r="I4" t="s">
        <v>23</v>
      </c>
      <c r="J4" s="4">
        <v>0.95</v>
      </c>
      <c r="K4">
        <v>9</v>
      </c>
      <c r="L4" s="2">
        <v>7.0000000000000007E-2</v>
      </c>
      <c r="M4" s="6">
        <v>1.33</v>
      </c>
    </row>
    <row r="5" spans="1:13" x14ac:dyDescent="0.25">
      <c r="A5" t="s">
        <v>6</v>
      </c>
      <c r="B5">
        <v>2</v>
      </c>
      <c r="C5" s="1">
        <v>86.567164179104481</v>
      </c>
      <c r="D5" s="2">
        <v>6.7000000000000004E-2</v>
      </c>
      <c r="E5">
        <v>116</v>
      </c>
      <c r="F5">
        <v>6</v>
      </c>
      <c r="H5" t="s">
        <v>20</v>
      </c>
      <c r="I5" t="s">
        <v>20</v>
      </c>
      <c r="J5" s="4">
        <v>0.9</v>
      </c>
      <c r="K5">
        <v>2</v>
      </c>
      <c r="L5" s="2">
        <v>5.6000000000000001E-2</v>
      </c>
      <c r="M5" s="6">
        <v>1.35</v>
      </c>
    </row>
    <row r="6" spans="1:13" x14ac:dyDescent="0.25">
      <c r="A6" t="s">
        <v>7</v>
      </c>
      <c r="B6">
        <v>10</v>
      </c>
      <c r="C6" s="1">
        <v>263</v>
      </c>
      <c r="D6" s="2">
        <v>0.1</v>
      </c>
      <c r="E6">
        <v>526</v>
      </c>
      <c r="F6">
        <v>25</v>
      </c>
      <c r="H6" t="s">
        <v>7</v>
      </c>
      <c r="I6" t="s">
        <v>24</v>
      </c>
      <c r="J6" s="4">
        <v>0.81004562737642583</v>
      </c>
      <c r="K6">
        <v>9</v>
      </c>
      <c r="L6" s="2">
        <v>9.5000000000000001E-2</v>
      </c>
      <c r="M6">
        <v>1.39</v>
      </c>
    </row>
    <row r="7" spans="1:13" x14ac:dyDescent="0.25">
      <c r="A7" t="s">
        <v>0</v>
      </c>
      <c r="B7">
        <v>3</v>
      </c>
      <c r="C7" s="1">
        <v>102.77777777777779</v>
      </c>
      <c r="D7" s="2">
        <v>7.1999999999999995E-2</v>
      </c>
      <c r="E7">
        <v>148</v>
      </c>
      <c r="F7">
        <v>7</v>
      </c>
      <c r="H7" t="s">
        <v>0</v>
      </c>
      <c r="I7" t="s">
        <v>0</v>
      </c>
      <c r="J7" s="4">
        <v>0.89248648648648654</v>
      </c>
      <c r="K7">
        <v>4</v>
      </c>
      <c r="L7" s="2">
        <v>5.6000000000000001E-2</v>
      </c>
      <c r="M7" s="6">
        <v>1.32</v>
      </c>
    </row>
    <row r="8" spans="1:13" x14ac:dyDescent="0.25">
      <c r="A8" t="s">
        <v>8</v>
      </c>
      <c r="B8">
        <v>5</v>
      </c>
      <c r="C8" s="1">
        <v>208.46153846153848</v>
      </c>
      <c r="D8" s="2">
        <v>6.5000000000000002E-2</v>
      </c>
      <c r="E8">
        <v>271</v>
      </c>
      <c r="F8">
        <v>13</v>
      </c>
      <c r="H8" t="s">
        <v>8</v>
      </c>
      <c r="I8" t="s">
        <v>25</v>
      </c>
      <c r="J8" s="4">
        <v>0.9</v>
      </c>
      <c r="K8">
        <v>5</v>
      </c>
      <c r="L8" s="2">
        <v>5.8000000000000003E-2</v>
      </c>
      <c r="M8" s="6">
        <v>1.27</v>
      </c>
    </row>
    <row r="9" spans="1:13" x14ac:dyDescent="0.25">
      <c r="A9" t="s">
        <v>1</v>
      </c>
      <c r="B9">
        <v>2</v>
      </c>
      <c r="C9" s="1">
        <v>50</v>
      </c>
      <c r="D9" s="2">
        <v>0.06</v>
      </c>
      <c r="E9">
        <v>60</v>
      </c>
      <c r="F9">
        <v>3</v>
      </c>
      <c r="H9" t="s">
        <v>1</v>
      </c>
      <c r="I9" t="s">
        <v>1</v>
      </c>
      <c r="J9" s="4">
        <v>0.9</v>
      </c>
      <c r="K9">
        <v>2</v>
      </c>
      <c r="L9" s="2">
        <v>6.7000000000000004E-2</v>
      </c>
      <c r="M9" s="6">
        <v>1.29</v>
      </c>
    </row>
    <row r="10" spans="1:13" x14ac:dyDescent="0.25">
      <c r="A10" t="s">
        <v>2</v>
      </c>
      <c r="B10">
        <v>8</v>
      </c>
      <c r="C10" s="1">
        <v>732.87671232876721</v>
      </c>
      <c r="D10" s="2">
        <v>7.2999999999999995E-2</v>
      </c>
      <c r="E10">
        <v>1070</v>
      </c>
      <c r="F10" s="1">
        <v>15.80952380952381</v>
      </c>
      <c r="H10" t="s">
        <v>2</v>
      </c>
      <c r="I10" t="s">
        <v>2</v>
      </c>
      <c r="J10" s="4">
        <v>0.30999999999999994</v>
      </c>
      <c r="K10">
        <v>8</v>
      </c>
      <c r="L10" s="2">
        <v>7.2999999999999995E-2</v>
      </c>
    </row>
    <row r="11" spans="1:13" x14ac:dyDescent="0.25">
      <c r="A11" t="s">
        <v>15</v>
      </c>
      <c r="B11">
        <v>10</v>
      </c>
      <c r="C11" s="1">
        <v>463</v>
      </c>
      <c r="D11" s="2">
        <v>0.115</v>
      </c>
      <c r="E11">
        <v>1089</v>
      </c>
      <c r="F11">
        <v>45</v>
      </c>
      <c r="H11" t="s">
        <v>26</v>
      </c>
      <c r="I11" t="s">
        <v>26</v>
      </c>
      <c r="J11" s="4">
        <v>0.77</v>
      </c>
      <c r="K11">
        <v>6</v>
      </c>
      <c r="L11" s="2">
        <v>0.155</v>
      </c>
    </row>
    <row r="12" spans="1:13" x14ac:dyDescent="0.25">
      <c r="H12" t="s">
        <v>27</v>
      </c>
      <c r="I12" t="s">
        <v>27</v>
      </c>
      <c r="J12" s="4">
        <v>0.74</v>
      </c>
      <c r="K12">
        <v>5</v>
      </c>
      <c r="L12" s="2">
        <v>0.15</v>
      </c>
    </row>
    <row r="13" spans="1:13" x14ac:dyDescent="0.25">
      <c r="H13" t="s">
        <v>28</v>
      </c>
      <c r="I13" t="s">
        <v>28</v>
      </c>
      <c r="J13" s="4">
        <v>1</v>
      </c>
      <c r="K13">
        <v>2</v>
      </c>
      <c r="L13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CD1F-FDFA-4517-87CE-19F9282074A6}">
  <dimension ref="A1:V241"/>
  <sheetViews>
    <sheetView tabSelected="1" workbookViewId="0"/>
  </sheetViews>
  <sheetFormatPr defaultRowHeight="15" x14ac:dyDescent="0.25"/>
  <cols>
    <col min="1" max="1" width="18" bestFit="1" customWidth="1"/>
    <col min="2" max="2" width="7.140625" customWidth="1"/>
    <col min="3" max="3" width="11.28515625" customWidth="1"/>
    <col min="4" max="4" width="15.140625" customWidth="1"/>
    <col min="5" max="5" width="10.42578125" customWidth="1"/>
    <col min="6" max="6" width="10.5703125" customWidth="1"/>
    <col min="7" max="7" width="16.85546875" customWidth="1"/>
    <col min="8" max="8" width="17.7109375" style="5" customWidth="1"/>
    <col min="9" max="9" width="15" customWidth="1"/>
    <col min="10" max="10" width="13.7109375" customWidth="1"/>
    <col min="11" max="11" width="19.85546875" customWidth="1"/>
    <col min="12" max="12" width="8.28515625" customWidth="1"/>
    <col min="13" max="13" width="5.5703125" bestFit="1" customWidth="1"/>
    <col min="14" max="14" width="18" bestFit="1" customWidth="1"/>
    <col min="15" max="15" width="10.7109375" bestFit="1" customWidth="1"/>
    <col min="16" max="16" width="13.140625" bestFit="1" customWidth="1"/>
    <col min="17" max="17" width="8.28515625" bestFit="1" customWidth="1"/>
    <col min="18" max="18" width="8.42578125" bestFit="1" customWidth="1"/>
    <col min="19" max="19" width="14.85546875" bestFit="1" customWidth="1"/>
    <col min="20" max="20" width="15.7109375" bestFit="1" customWidth="1"/>
    <col min="21" max="21" width="12.85546875" bestFit="1" customWidth="1"/>
    <col min="22" max="22" width="11.5703125" bestFit="1" customWidth="1"/>
  </cols>
  <sheetData>
    <row r="1" spans="1:22" x14ac:dyDescent="0.25">
      <c r="A1" s="8" t="s">
        <v>16</v>
      </c>
      <c r="B1" s="8" t="s">
        <v>17</v>
      </c>
      <c r="C1" s="8" t="s">
        <v>18</v>
      </c>
      <c r="D1" s="9" t="s">
        <v>35</v>
      </c>
      <c r="E1" s="9" t="s">
        <v>19</v>
      </c>
      <c r="F1" s="9" t="s">
        <v>33</v>
      </c>
      <c r="G1" s="9" t="s">
        <v>34</v>
      </c>
      <c r="H1" s="10" t="s">
        <v>14</v>
      </c>
      <c r="I1" s="9" t="s">
        <v>37</v>
      </c>
      <c r="J1" s="9" t="s">
        <v>38</v>
      </c>
      <c r="K1" s="9" t="s">
        <v>39</v>
      </c>
      <c r="O1" s="7"/>
    </row>
    <row r="2" spans="1:22" x14ac:dyDescent="0.25">
      <c r="A2" t="s">
        <v>3</v>
      </c>
      <c r="B2" s="3">
        <v>46174</v>
      </c>
      <c r="C2">
        <v>25</v>
      </c>
      <c r="D2" s="5">
        <f>_xlfn.XLOOKUP(A2,Planilha1!H:H,Planilha1!J:J)</f>
        <v>0.7805428571428572</v>
      </c>
      <c r="E2" s="1">
        <f>C2*D2</f>
        <v>19.513571428571431</v>
      </c>
      <c r="F2">
        <f>_xlfn.XLOOKUP(A2,Planilha1!H:H,Planilha1!K:K)</f>
        <v>10</v>
      </c>
      <c r="G2" s="1">
        <f t="shared" ref="G2:G65" si="0">IFERROR(F2/E2,0)</f>
        <v>0.51246385299608321</v>
      </c>
      <c r="H2" s="5">
        <f>_xlfn.XLOOKUP(A2,Planilha1!H:H,Planilha1!L:L)</f>
        <v>4.8000000000000001E-2</v>
      </c>
      <c r="I2">
        <f>_xlfn.XLOOKUP(A2,Planilha1!H:H,Planilha1!M:M)</f>
        <v>1.32</v>
      </c>
      <c r="J2" s="1">
        <f>(E2/H2)*I2</f>
        <v>536.62321428571431</v>
      </c>
      <c r="K2" t="str">
        <f>_xlfn.CONCAT(A2,"_",B2)</f>
        <v>PUCPR DIGITAL_46174</v>
      </c>
      <c r="T2" s="5"/>
    </row>
    <row r="3" spans="1:22" x14ac:dyDescent="0.25">
      <c r="A3" t="s">
        <v>3</v>
      </c>
      <c r="B3" s="3">
        <v>46175</v>
      </c>
      <c r="C3">
        <v>25</v>
      </c>
      <c r="D3" s="5">
        <f>_xlfn.XLOOKUP(A3,Planilha1!H:H,Planilha1!J:J)</f>
        <v>0.7805428571428572</v>
      </c>
      <c r="E3" s="1">
        <f t="shared" ref="E3:E66" si="1">C3*D3</f>
        <v>19.513571428571431</v>
      </c>
      <c r="F3">
        <f>_xlfn.XLOOKUP(A3,Planilha1!H:H,Planilha1!K:K)</f>
        <v>10</v>
      </c>
      <c r="G3" s="1">
        <f t="shared" si="0"/>
        <v>0.51246385299608321</v>
      </c>
      <c r="H3" s="5">
        <f>_xlfn.XLOOKUP(A3,Planilha1!H:H,Planilha1!L:L)</f>
        <v>4.8000000000000001E-2</v>
      </c>
      <c r="I3">
        <f>_xlfn.XLOOKUP(A3,Planilha1!H:H,Planilha1!M:M)</f>
        <v>1.32</v>
      </c>
      <c r="J3" s="1">
        <f t="shared" ref="J3:J66" si="2">(E3/H3)*I3</f>
        <v>536.62321428571431</v>
      </c>
      <c r="K3" t="str">
        <f t="shared" ref="K3:K66" si="3">_xlfn.CONCAT(A3,"_",B3)</f>
        <v>PUCPR DIGITAL_46175</v>
      </c>
      <c r="P3" s="5"/>
      <c r="Q3" s="1"/>
      <c r="S3" s="1"/>
      <c r="T3" s="5"/>
      <c r="U3" s="1"/>
      <c r="V3" s="1"/>
    </row>
    <row r="4" spans="1:22" x14ac:dyDescent="0.25">
      <c r="A4" t="s">
        <v>3</v>
      </c>
      <c r="B4" s="3">
        <v>46176</v>
      </c>
      <c r="C4">
        <v>25</v>
      </c>
      <c r="D4" s="5">
        <f>_xlfn.XLOOKUP(A4,Planilha1!H:H,Planilha1!J:J)</f>
        <v>0.7805428571428572</v>
      </c>
      <c r="E4" s="1">
        <f t="shared" si="1"/>
        <v>19.513571428571431</v>
      </c>
      <c r="F4">
        <f>_xlfn.XLOOKUP(A4,Planilha1!H:H,Planilha1!K:K)</f>
        <v>10</v>
      </c>
      <c r="G4" s="1">
        <f t="shared" si="0"/>
        <v>0.51246385299608321</v>
      </c>
      <c r="H4" s="5">
        <f>_xlfn.XLOOKUP(A4,Planilha1!H:H,Planilha1!L:L)</f>
        <v>4.8000000000000001E-2</v>
      </c>
      <c r="I4">
        <f>_xlfn.XLOOKUP(A4,Planilha1!H:H,Planilha1!M:M)</f>
        <v>1.32</v>
      </c>
      <c r="J4" s="1">
        <f t="shared" si="2"/>
        <v>536.62321428571431</v>
      </c>
      <c r="K4" t="str">
        <f t="shared" si="3"/>
        <v>PUCPR DIGITAL_46176</v>
      </c>
      <c r="P4" s="5"/>
      <c r="Q4" s="1"/>
      <c r="S4" s="1"/>
      <c r="T4" s="5"/>
      <c r="U4" s="1"/>
      <c r="V4" s="1"/>
    </row>
    <row r="5" spans="1:22" x14ac:dyDescent="0.25">
      <c r="A5" t="s">
        <v>3</v>
      </c>
      <c r="B5" s="3">
        <v>46177</v>
      </c>
      <c r="C5">
        <v>0</v>
      </c>
      <c r="D5" s="5">
        <f>_xlfn.XLOOKUP(A5,Planilha1!H:H,Planilha1!J:J)</f>
        <v>0.7805428571428572</v>
      </c>
      <c r="E5" s="1">
        <f t="shared" si="1"/>
        <v>0</v>
      </c>
      <c r="F5">
        <f>_xlfn.XLOOKUP(A5,Planilha1!H:H,Planilha1!K:K)</f>
        <v>10</v>
      </c>
      <c r="G5" s="1">
        <f t="shared" si="0"/>
        <v>0</v>
      </c>
      <c r="H5" s="5">
        <f>_xlfn.XLOOKUP(A5,Planilha1!H:H,Planilha1!L:L)</f>
        <v>4.8000000000000001E-2</v>
      </c>
      <c r="I5">
        <f>_xlfn.XLOOKUP(A5,Planilha1!H:H,Planilha1!M:M)</f>
        <v>1.32</v>
      </c>
      <c r="J5" s="1">
        <f t="shared" si="2"/>
        <v>0</v>
      </c>
      <c r="K5" t="str">
        <f t="shared" si="3"/>
        <v>PUCPR DIGITAL_46177</v>
      </c>
      <c r="P5" s="5"/>
      <c r="Q5" s="1"/>
      <c r="S5" s="1"/>
      <c r="T5" s="5"/>
      <c r="U5" s="1"/>
      <c r="V5" s="1"/>
    </row>
    <row r="6" spans="1:22" x14ac:dyDescent="0.25">
      <c r="A6" t="s">
        <v>3</v>
      </c>
      <c r="B6" s="3">
        <v>46178</v>
      </c>
      <c r="C6">
        <v>10</v>
      </c>
      <c r="D6" s="5">
        <f>_xlfn.XLOOKUP(A6,Planilha1!H:H,Planilha1!J:J)</f>
        <v>0.7805428571428572</v>
      </c>
      <c r="E6" s="1">
        <f t="shared" si="1"/>
        <v>7.805428571428572</v>
      </c>
      <c r="F6">
        <f>_xlfn.XLOOKUP(A6,Planilha1!H:H,Planilha1!K:K)</f>
        <v>10</v>
      </c>
      <c r="G6" s="1">
        <f t="shared" si="0"/>
        <v>1.2811596324902081</v>
      </c>
      <c r="H6" s="5">
        <f>_xlfn.XLOOKUP(A6,Planilha1!H:H,Planilha1!L:L)</f>
        <v>4.8000000000000001E-2</v>
      </c>
      <c r="I6">
        <f>_xlfn.XLOOKUP(A6,Planilha1!H:H,Planilha1!M:M)</f>
        <v>1.32</v>
      </c>
      <c r="J6" s="1">
        <f t="shared" si="2"/>
        <v>214.64928571428572</v>
      </c>
      <c r="K6" t="str">
        <f t="shared" si="3"/>
        <v>PUCPR DIGITAL_46178</v>
      </c>
      <c r="P6" s="5"/>
      <c r="Q6" s="1"/>
      <c r="S6" s="1"/>
      <c r="T6" s="5"/>
      <c r="U6" s="1"/>
      <c r="V6" s="1"/>
    </row>
    <row r="7" spans="1:22" x14ac:dyDescent="0.25">
      <c r="A7" t="s">
        <v>3</v>
      </c>
      <c r="B7" s="3">
        <v>46179</v>
      </c>
      <c r="C7">
        <v>5</v>
      </c>
      <c r="D7" s="5">
        <f>_xlfn.XLOOKUP(A7,Planilha1!H:H,Planilha1!J:J)</f>
        <v>0.7805428571428572</v>
      </c>
      <c r="E7" s="1">
        <f t="shared" si="1"/>
        <v>3.902714285714286</v>
      </c>
      <c r="F7">
        <f>_xlfn.XLOOKUP(A7,Planilha1!H:H,Planilha1!K:K)</f>
        <v>10</v>
      </c>
      <c r="G7" s="1">
        <f t="shared" si="0"/>
        <v>2.5623192649804163</v>
      </c>
      <c r="H7" s="5">
        <f>_xlfn.XLOOKUP(A7,Planilha1!H:H,Planilha1!L:L)</f>
        <v>4.8000000000000001E-2</v>
      </c>
      <c r="I7">
        <f>_xlfn.XLOOKUP(A7,Planilha1!H:H,Planilha1!M:M)</f>
        <v>1.32</v>
      </c>
      <c r="J7" s="1">
        <f t="shared" si="2"/>
        <v>107.32464285714286</v>
      </c>
      <c r="K7" t="str">
        <f t="shared" si="3"/>
        <v>PUCPR DIGITAL_46179</v>
      </c>
      <c r="P7" s="5"/>
      <c r="Q7" s="1"/>
      <c r="S7" s="1"/>
      <c r="T7" s="5"/>
      <c r="U7" s="1"/>
      <c r="V7" s="1"/>
    </row>
    <row r="8" spans="1:22" x14ac:dyDescent="0.25">
      <c r="A8" t="s">
        <v>3</v>
      </c>
      <c r="B8" s="3">
        <v>46180</v>
      </c>
      <c r="C8">
        <v>0</v>
      </c>
      <c r="D8" s="5">
        <f>_xlfn.XLOOKUP(A8,Planilha1!H:H,Planilha1!J:J)</f>
        <v>0.7805428571428572</v>
      </c>
      <c r="E8" s="1">
        <f t="shared" si="1"/>
        <v>0</v>
      </c>
      <c r="F8">
        <f>_xlfn.XLOOKUP(A8,Planilha1!H:H,Planilha1!K:K)</f>
        <v>10</v>
      </c>
      <c r="G8" s="1">
        <f t="shared" si="0"/>
        <v>0</v>
      </c>
      <c r="H8" s="5">
        <f>_xlfn.XLOOKUP(A8,Planilha1!H:H,Planilha1!L:L)</f>
        <v>4.8000000000000001E-2</v>
      </c>
      <c r="I8">
        <f>_xlfn.XLOOKUP(A8,Planilha1!H:H,Planilha1!M:M)</f>
        <v>1.32</v>
      </c>
      <c r="J8" s="1">
        <f t="shared" si="2"/>
        <v>0</v>
      </c>
      <c r="K8" t="str">
        <f t="shared" si="3"/>
        <v>PUCPR DIGITAL_46180</v>
      </c>
      <c r="P8" s="5"/>
      <c r="Q8" s="1"/>
      <c r="S8" s="1"/>
      <c r="T8" s="5"/>
      <c r="U8" s="1"/>
      <c r="V8" s="1"/>
    </row>
    <row r="9" spans="1:22" x14ac:dyDescent="0.25">
      <c r="A9" t="s">
        <v>3</v>
      </c>
      <c r="B9" s="3">
        <v>46181</v>
      </c>
      <c r="C9">
        <v>45</v>
      </c>
      <c r="D9" s="5">
        <f>_xlfn.XLOOKUP(A9,Planilha1!H:H,Planilha1!J:J)</f>
        <v>0.7805428571428572</v>
      </c>
      <c r="E9" s="1">
        <f t="shared" si="1"/>
        <v>35.124428571428574</v>
      </c>
      <c r="F9">
        <f>_xlfn.XLOOKUP(A9,Planilha1!H:H,Planilha1!K:K)</f>
        <v>10</v>
      </c>
      <c r="G9" s="1">
        <f t="shared" si="0"/>
        <v>0.28470214055337961</v>
      </c>
      <c r="H9" s="5">
        <f>_xlfn.XLOOKUP(A9,Planilha1!H:H,Planilha1!L:L)</f>
        <v>4.8000000000000001E-2</v>
      </c>
      <c r="I9">
        <f>_xlfn.XLOOKUP(A9,Planilha1!H:H,Planilha1!M:M)</f>
        <v>1.32</v>
      </c>
      <c r="J9" s="1">
        <f t="shared" si="2"/>
        <v>965.92178571428576</v>
      </c>
      <c r="K9" t="str">
        <f t="shared" si="3"/>
        <v>PUCPR DIGITAL_46181</v>
      </c>
      <c r="P9" s="5"/>
      <c r="Q9" s="1"/>
      <c r="S9" s="1"/>
      <c r="T9" s="5"/>
      <c r="U9" s="1"/>
      <c r="V9" s="1"/>
    </row>
    <row r="10" spans="1:22" x14ac:dyDescent="0.25">
      <c r="A10" t="s">
        <v>3</v>
      </c>
      <c r="B10" s="3">
        <v>46182</v>
      </c>
      <c r="C10">
        <v>45</v>
      </c>
      <c r="D10" s="5">
        <f>_xlfn.XLOOKUP(A10,Planilha1!H:H,Planilha1!J:J)</f>
        <v>0.7805428571428572</v>
      </c>
      <c r="E10" s="1">
        <f t="shared" si="1"/>
        <v>35.124428571428574</v>
      </c>
      <c r="F10">
        <f>_xlfn.XLOOKUP(A10,Planilha1!H:H,Planilha1!K:K)</f>
        <v>10</v>
      </c>
      <c r="G10" s="1">
        <f t="shared" si="0"/>
        <v>0.28470214055337961</v>
      </c>
      <c r="H10" s="5">
        <f>_xlfn.XLOOKUP(A10,Planilha1!H:H,Planilha1!L:L)</f>
        <v>4.8000000000000001E-2</v>
      </c>
      <c r="I10">
        <f>_xlfn.XLOOKUP(A10,Planilha1!H:H,Planilha1!M:M)</f>
        <v>1.32</v>
      </c>
      <c r="J10" s="1">
        <f t="shared" si="2"/>
        <v>965.92178571428576</v>
      </c>
      <c r="K10" t="str">
        <f t="shared" si="3"/>
        <v>PUCPR DIGITAL_46182</v>
      </c>
      <c r="P10" s="5"/>
      <c r="Q10" s="1"/>
      <c r="S10" s="1"/>
      <c r="T10" s="5"/>
      <c r="U10" s="1"/>
      <c r="V10" s="1"/>
    </row>
    <row r="11" spans="1:22" x14ac:dyDescent="0.25">
      <c r="A11" t="s">
        <v>3</v>
      </c>
      <c r="B11" s="3">
        <v>46183</v>
      </c>
      <c r="C11">
        <v>40</v>
      </c>
      <c r="D11" s="5">
        <f>_xlfn.XLOOKUP(A11,Planilha1!H:H,Planilha1!J:J)</f>
        <v>0.7805428571428572</v>
      </c>
      <c r="E11" s="1">
        <f t="shared" si="1"/>
        <v>31.221714285714288</v>
      </c>
      <c r="F11">
        <f>_xlfn.XLOOKUP(A11,Planilha1!H:H,Planilha1!K:K)</f>
        <v>10</v>
      </c>
      <c r="G11" s="1">
        <f t="shared" si="0"/>
        <v>0.32028990812255204</v>
      </c>
      <c r="H11" s="5">
        <f>_xlfn.XLOOKUP(A11,Planilha1!H:H,Planilha1!L:L)</f>
        <v>4.8000000000000001E-2</v>
      </c>
      <c r="I11">
        <f>_xlfn.XLOOKUP(A11,Planilha1!H:H,Planilha1!M:M)</f>
        <v>1.32</v>
      </c>
      <c r="J11" s="1">
        <f t="shared" si="2"/>
        <v>858.5971428571429</v>
      </c>
      <c r="K11" t="str">
        <f t="shared" si="3"/>
        <v>PUCPR DIGITAL_46183</v>
      </c>
      <c r="P11" s="5"/>
    </row>
    <row r="12" spans="1:22" x14ac:dyDescent="0.25">
      <c r="A12" t="s">
        <v>3</v>
      </c>
      <c r="B12" s="3">
        <v>46184</v>
      </c>
      <c r="C12">
        <v>40</v>
      </c>
      <c r="D12" s="5">
        <f>_xlfn.XLOOKUP(A12,Planilha1!H:H,Planilha1!J:J)</f>
        <v>0.7805428571428572</v>
      </c>
      <c r="E12" s="1">
        <f t="shared" si="1"/>
        <v>31.221714285714288</v>
      </c>
      <c r="F12">
        <f>_xlfn.XLOOKUP(A12,Planilha1!H:H,Planilha1!K:K)</f>
        <v>10</v>
      </c>
      <c r="G12" s="1">
        <f t="shared" si="0"/>
        <v>0.32028990812255204</v>
      </c>
      <c r="H12" s="5">
        <f>_xlfn.XLOOKUP(A12,Planilha1!H:H,Planilha1!L:L)</f>
        <v>4.8000000000000001E-2</v>
      </c>
      <c r="I12">
        <f>_xlfn.XLOOKUP(A12,Planilha1!H:H,Planilha1!M:M)</f>
        <v>1.32</v>
      </c>
      <c r="J12" s="1">
        <f t="shared" si="2"/>
        <v>858.5971428571429</v>
      </c>
      <c r="K12" t="str">
        <f t="shared" si="3"/>
        <v>PUCPR DIGITAL_46184</v>
      </c>
    </row>
    <row r="13" spans="1:22" x14ac:dyDescent="0.25">
      <c r="A13" t="s">
        <v>3</v>
      </c>
      <c r="B13" s="3">
        <v>46185</v>
      </c>
      <c r="C13">
        <v>32</v>
      </c>
      <c r="D13" s="5">
        <f>_xlfn.XLOOKUP(A13,Planilha1!H:H,Planilha1!J:J)</f>
        <v>0.7805428571428572</v>
      </c>
      <c r="E13" s="1">
        <f t="shared" si="1"/>
        <v>24.977371428571431</v>
      </c>
      <c r="F13">
        <f>_xlfn.XLOOKUP(A13,Planilha1!H:H,Planilha1!K:K)</f>
        <v>10</v>
      </c>
      <c r="G13" s="1">
        <f t="shared" si="0"/>
        <v>0.40036238515319006</v>
      </c>
      <c r="H13" s="5">
        <f>_xlfn.XLOOKUP(A13,Planilha1!H:H,Planilha1!L:L)</f>
        <v>4.8000000000000001E-2</v>
      </c>
      <c r="I13">
        <f>_xlfn.XLOOKUP(A13,Planilha1!H:H,Planilha1!M:M)</f>
        <v>1.32</v>
      </c>
      <c r="J13" s="1">
        <f t="shared" si="2"/>
        <v>686.87771428571443</v>
      </c>
      <c r="K13" t="str">
        <f t="shared" si="3"/>
        <v>PUCPR DIGITAL_46185</v>
      </c>
    </row>
    <row r="14" spans="1:22" x14ac:dyDescent="0.25">
      <c r="A14" t="s">
        <v>3</v>
      </c>
      <c r="B14" s="3">
        <v>46186</v>
      </c>
      <c r="C14">
        <v>0</v>
      </c>
      <c r="D14" s="5">
        <f>_xlfn.XLOOKUP(A14,Planilha1!H:H,Planilha1!J:J)</f>
        <v>0.7805428571428572</v>
      </c>
      <c r="E14" s="1">
        <f t="shared" si="1"/>
        <v>0</v>
      </c>
      <c r="F14">
        <f>_xlfn.XLOOKUP(A14,Planilha1!H:H,Planilha1!K:K)</f>
        <v>10</v>
      </c>
      <c r="G14" s="1">
        <f t="shared" si="0"/>
        <v>0</v>
      </c>
      <c r="H14" s="5">
        <f>_xlfn.XLOOKUP(A14,Planilha1!H:H,Planilha1!L:L)</f>
        <v>4.8000000000000001E-2</v>
      </c>
      <c r="I14">
        <f>_xlfn.XLOOKUP(A14,Planilha1!H:H,Planilha1!M:M)</f>
        <v>1.32</v>
      </c>
      <c r="J14" s="1">
        <f t="shared" si="2"/>
        <v>0</v>
      </c>
      <c r="K14" t="str">
        <f t="shared" si="3"/>
        <v>PUCPR DIGITAL_46186</v>
      </c>
    </row>
    <row r="15" spans="1:22" x14ac:dyDescent="0.25">
      <c r="A15" t="s">
        <v>3</v>
      </c>
      <c r="B15" s="3">
        <v>46187</v>
      </c>
      <c r="C15">
        <v>0</v>
      </c>
      <c r="D15" s="5">
        <f>_xlfn.XLOOKUP(A15,Planilha1!H:H,Planilha1!J:J)</f>
        <v>0.7805428571428572</v>
      </c>
      <c r="E15" s="1">
        <f t="shared" si="1"/>
        <v>0</v>
      </c>
      <c r="F15">
        <f>_xlfn.XLOOKUP(A15,Planilha1!H:H,Planilha1!K:K)</f>
        <v>10</v>
      </c>
      <c r="G15" s="1">
        <f t="shared" si="0"/>
        <v>0</v>
      </c>
      <c r="H15" s="5">
        <f>_xlfn.XLOOKUP(A15,Planilha1!H:H,Planilha1!L:L)</f>
        <v>4.8000000000000001E-2</v>
      </c>
      <c r="I15">
        <f>_xlfn.XLOOKUP(A15,Planilha1!H:H,Planilha1!M:M)</f>
        <v>1.32</v>
      </c>
      <c r="J15" s="1">
        <f t="shared" si="2"/>
        <v>0</v>
      </c>
      <c r="K15" t="str">
        <f t="shared" si="3"/>
        <v>PUCPR DIGITAL_46187</v>
      </c>
    </row>
    <row r="16" spans="1:22" x14ac:dyDescent="0.25">
      <c r="A16" t="s">
        <v>3</v>
      </c>
      <c r="B16" s="3">
        <v>46188</v>
      </c>
      <c r="C16">
        <v>32</v>
      </c>
      <c r="D16" s="5">
        <f>_xlfn.XLOOKUP(A16,Planilha1!H:H,Planilha1!J:J)</f>
        <v>0.7805428571428572</v>
      </c>
      <c r="E16" s="1">
        <f t="shared" si="1"/>
        <v>24.977371428571431</v>
      </c>
      <c r="F16">
        <f>_xlfn.XLOOKUP(A16,Planilha1!H:H,Planilha1!K:K)</f>
        <v>10</v>
      </c>
      <c r="G16" s="1">
        <f t="shared" si="0"/>
        <v>0.40036238515319006</v>
      </c>
      <c r="H16" s="5">
        <f>_xlfn.XLOOKUP(A16,Planilha1!H:H,Planilha1!L:L)</f>
        <v>4.8000000000000001E-2</v>
      </c>
      <c r="I16">
        <f>_xlfn.XLOOKUP(A16,Planilha1!H:H,Planilha1!M:M)</f>
        <v>1.32</v>
      </c>
      <c r="J16" s="1">
        <f t="shared" si="2"/>
        <v>686.87771428571443</v>
      </c>
      <c r="K16" t="str">
        <f t="shared" si="3"/>
        <v>PUCPR DIGITAL_46188</v>
      </c>
    </row>
    <row r="17" spans="1:11" x14ac:dyDescent="0.25">
      <c r="A17" t="s">
        <v>3</v>
      </c>
      <c r="B17" s="3">
        <v>46189</v>
      </c>
      <c r="C17">
        <v>32</v>
      </c>
      <c r="D17" s="5">
        <f>_xlfn.XLOOKUP(A17,Planilha1!H:H,Planilha1!J:J)</f>
        <v>0.7805428571428572</v>
      </c>
      <c r="E17" s="1">
        <f t="shared" si="1"/>
        <v>24.977371428571431</v>
      </c>
      <c r="F17">
        <f>_xlfn.XLOOKUP(A17,Planilha1!H:H,Planilha1!K:K)</f>
        <v>10</v>
      </c>
      <c r="G17" s="1">
        <f t="shared" si="0"/>
        <v>0.40036238515319006</v>
      </c>
      <c r="H17" s="5">
        <f>_xlfn.XLOOKUP(A17,Planilha1!H:H,Planilha1!L:L)</f>
        <v>4.8000000000000001E-2</v>
      </c>
      <c r="I17">
        <f>_xlfn.XLOOKUP(A17,Planilha1!H:H,Planilha1!M:M)</f>
        <v>1.32</v>
      </c>
      <c r="J17" s="1">
        <f t="shared" si="2"/>
        <v>686.87771428571443</v>
      </c>
      <c r="K17" t="str">
        <f t="shared" si="3"/>
        <v>PUCPR DIGITAL_46189</v>
      </c>
    </row>
    <row r="18" spans="1:11" x14ac:dyDescent="0.25">
      <c r="A18" t="s">
        <v>3</v>
      </c>
      <c r="B18" s="3">
        <v>46190</v>
      </c>
      <c r="C18">
        <v>32</v>
      </c>
      <c r="D18" s="5">
        <f>_xlfn.XLOOKUP(A18,Planilha1!H:H,Planilha1!J:J)</f>
        <v>0.7805428571428572</v>
      </c>
      <c r="E18" s="1">
        <f t="shared" si="1"/>
        <v>24.977371428571431</v>
      </c>
      <c r="F18">
        <f>_xlfn.XLOOKUP(A18,Planilha1!H:H,Planilha1!K:K)</f>
        <v>10</v>
      </c>
      <c r="G18" s="1">
        <f t="shared" si="0"/>
        <v>0.40036238515319006</v>
      </c>
      <c r="H18" s="5">
        <f>_xlfn.XLOOKUP(A18,Planilha1!H:H,Planilha1!L:L)</f>
        <v>4.8000000000000001E-2</v>
      </c>
      <c r="I18">
        <f>_xlfn.XLOOKUP(A18,Planilha1!H:H,Planilha1!M:M)</f>
        <v>1.32</v>
      </c>
      <c r="J18" s="1">
        <f t="shared" si="2"/>
        <v>686.87771428571443</v>
      </c>
      <c r="K18" t="str">
        <f t="shared" si="3"/>
        <v>PUCPR DIGITAL_46190</v>
      </c>
    </row>
    <row r="19" spans="1:11" x14ac:dyDescent="0.25">
      <c r="A19" t="s">
        <v>3</v>
      </c>
      <c r="B19" s="3">
        <v>46191</v>
      </c>
      <c r="C19">
        <v>32</v>
      </c>
      <c r="D19" s="5">
        <f>_xlfn.XLOOKUP(A19,Planilha1!H:H,Planilha1!J:J)</f>
        <v>0.7805428571428572</v>
      </c>
      <c r="E19" s="1">
        <f t="shared" si="1"/>
        <v>24.977371428571431</v>
      </c>
      <c r="F19">
        <f>_xlfn.XLOOKUP(A19,Planilha1!H:H,Planilha1!K:K)</f>
        <v>10</v>
      </c>
      <c r="G19" s="1">
        <f t="shared" si="0"/>
        <v>0.40036238515319006</v>
      </c>
      <c r="H19" s="5">
        <f>_xlfn.XLOOKUP(A19,Planilha1!H:H,Planilha1!L:L)</f>
        <v>4.8000000000000001E-2</v>
      </c>
      <c r="I19">
        <f>_xlfn.XLOOKUP(A19,Planilha1!H:H,Planilha1!M:M)</f>
        <v>1.32</v>
      </c>
      <c r="J19" s="1">
        <f t="shared" si="2"/>
        <v>686.87771428571443</v>
      </c>
      <c r="K19" t="str">
        <f t="shared" si="3"/>
        <v>PUCPR DIGITAL_46191</v>
      </c>
    </row>
    <row r="20" spans="1:11" x14ac:dyDescent="0.25">
      <c r="A20" t="s">
        <v>3</v>
      </c>
      <c r="B20" s="3">
        <v>46192</v>
      </c>
      <c r="C20">
        <v>32</v>
      </c>
      <c r="D20" s="5">
        <f>_xlfn.XLOOKUP(A20,Planilha1!H:H,Planilha1!J:J)</f>
        <v>0.7805428571428572</v>
      </c>
      <c r="E20" s="1">
        <f t="shared" si="1"/>
        <v>24.977371428571431</v>
      </c>
      <c r="F20">
        <f>_xlfn.XLOOKUP(A20,Planilha1!H:H,Planilha1!K:K)</f>
        <v>10</v>
      </c>
      <c r="G20" s="1">
        <f t="shared" si="0"/>
        <v>0.40036238515319006</v>
      </c>
      <c r="H20" s="5">
        <f>_xlfn.XLOOKUP(A20,Planilha1!H:H,Planilha1!L:L)</f>
        <v>4.8000000000000001E-2</v>
      </c>
      <c r="I20">
        <f>_xlfn.XLOOKUP(A20,Planilha1!H:H,Planilha1!M:M)</f>
        <v>1.32</v>
      </c>
      <c r="J20" s="1">
        <f t="shared" si="2"/>
        <v>686.87771428571443</v>
      </c>
      <c r="K20" t="str">
        <f t="shared" si="3"/>
        <v>PUCPR DIGITAL_46192</v>
      </c>
    </row>
    <row r="21" spans="1:11" x14ac:dyDescent="0.25">
      <c r="A21" t="s">
        <v>3</v>
      </c>
      <c r="B21" s="3">
        <v>46193</v>
      </c>
      <c r="C21">
        <v>0</v>
      </c>
      <c r="D21" s="5">
        <f>_xlfn.XLOOKUP(A21,Planilha1!H:H,Planilha1!J:J)</f>
        <v>0.7805428571428572</v>
      </c>
      <c r="E21" s="1">
        <f t="shared" si="1"/>
        <v>0</v>
      </c>
      <c r="F21">
        <f>_xlfn.XLOOKUP(A21,Planilha1!H:H,Planilha1!K:K)</f>
        <v>10</v>
      </c>
      <c r="G21" s="1">
        <f t="shared" si="0"/>
        <v>0</v>
      </c>
      <c r="H21" s="5">
        <f>_xlfn.XLOOKUP(A21,Planilha1!H:H,Planilha1!L:L)</f>
        <v>4.8000000000000001E-2</v>
      </c>
      <c r="I21">
        <f>_xlfn.XLOOKUP(A21,Planilha1!H:H,Planilha1!M:M)</f>
        <v>1.32</v>
      </c>
      <c r="J21" s="1">
        <f t="shared" si="2"/>
        <v>0</v>
      </c>
      <c r="K21" t="str">
        <f t="shared" si="3"/>
        <v>PUCPR DIGITAL_46193</v>
      </c>
    </row>
    <row r="22" spans="1:11" x14ac:dyDescent="0.25">
      <c r="A22" t="s">
        <v>3</v>
      </c>
      <c r="B22" s="3">
        <v>46194</v>
      </c>
      <c r="C22">
        <v>0</v>
      </c>
      <c r="D22" s="5">
        <f>_xlfn.XLOOKUP(A22,Planilha1!H:H,Planilha1!J:J)</f>
        <v>0.7805428571428572</v>
      </c>
      <c r="E22" s="1">
        <f t="shared" si="1"/>
        <v>0</v>
      </c>
      <c r="F22">
        <f>_xlfn.XLOOKUP(A22,Planilha1!H:H,Planilha1!K:K)</f>
        <v>10</v>
      </c>
      <c r="G22" s="1">
        <f t="shared" si="0"/>
        <v>0</v>
      </c>
      <c r="H22" s="5">
        <f>_xlfn.XLOOKUP(A22,Planilha1!H:H,Planilha1!L:L)</f>
        <v>4.8000000000000001E-2</v>
      </c>
      <c r="I22">
        <f>_xlfn.XLOOKUP(A22,Planilha1!H:H,Planilha1!M:M)</f>
        <v>1.32</v>
      </c>
      <c r="J22" s="1">
        <f t="shared" si="2"/>
        <v>0</v>
      </c>
      <c r="K22" t="str">
        <f t="shared" si="3"/>
        <v>PUCPR DIGITAL_46194</v>
      </c>
    </row>
    <row r="23" spans="1:11" x14ac:dyDescent="0.25">
      <c r="A23" t="s">
        <v>3</v>
      </c>
      <c r="B23" s="3">
        <v>46195</v>
      </c>
      <c r="C23">
        <v>35</v>
      </c>
      <c r="D23" s="5">
        <f>_xlfn.XLOOKUP(A23,Planilha1!H:H,Planilha1!J:J)</f>
        <v>0.7805428571428572</v>
      </c>
      <c r="E23" s="1">
        <f t="shared" si="1"/>
        <v>27.319000000000003</v>
      </c>
      <c r="F23">
        <f>_xlfn.XLOOKUP(A23,Planilha1!H:H,Planilha1!K:K)</f>
        <v>10</v>
      </c>
      <c r="G23" s="1">
        <f t="shared" si="0"/>
        <v>0.36604560928291663</v>
      </c>
      <c r="H23" s="5">
        <f>_xlfn.XLOOKUP(A23,Planilha1!H:H,Planilha1!L:L)</f>
        <v>4.8000000000000001E-2</v>
      </c>
      <c r="I23">
        <f>_xlfn.XLOOKUP(A23,Planilha1!H:H,Planilha1!M:M)</f>
        <v>1.32</v>
      </c>
      <c r="J23" s="1">
        <f t="shared" si="2"/>
        <v>751.27250000000004</v>
      </c>
      <c r="K23" t="str">
        <f t="shared" si="3"/>
        <v>PUCPR DIGITAL_46195</v>
      </c>
    </row>
    <row r="24" spans="1:11" x14ac:dyDescent="0.25">
      <c r="A24" t="s">
        <v>3</v>
      </c>
      <c r="B24" s="3">
        <v>46196</v>
      </c>
      <c r="C24">
        <v>35</v>
      </c>
      <c r="D24" s="5">
        <f>_xlfn.XLOOKUP(A24,Planilha1!H:H,Planilha1!J:J)</f>
        <v>0.7805428571428572</v>
      </c>
      <c r="E24" s="1">
        <f t="shared" si="1"/>
        <v>27.319000000000003</v>
      </c>
      <c r="F24">
        <f>_xlfn.XLOOKUP(A24,Planilha1!H:H,Planilha1!K:K)</f>
        <v>10</v>
      </c>
      <c r="G24" s="1">
        <f t="shared" si="0"/>
        <v>0.36604560928291663</v>
      </c>
      <c r="H24" s="5">
        <f>_xlfn.XLOOKUP(A24,Planilha1!H:H,Planilha1!L:L)</f>
        <v>4.8000000000000001E-2</v>
      </c>
      <c r="I24">
        <f>_xlfn.XLOOKUP(A24,Planilha1!H:H,Planilha1!M:M)</f>
        <v>1.32</v>
      </c>
      <c r="J24" s="1">
        <f t="shared" si="2"/>
        <v>751.27250000000004</v>
      </c>
      <c r="K24" t="str">
        <f t="shared" si="3"/>
        <v>PUCPR DIGITAL_46196</v>
      </c>
    </row>
    <row r="25" spans="1:11" x14ac:dyDescent="0.25">
      <c r="A25" t="s">
        <v>3</v>
      </c>
      <c r="B25" s="3">
        <v>46197</v>
      </c>
      <c r="C25">
        <v>25</v>
      </c>
      <c r="D25" s="5">
        <f>_xlfn.XLOOKUP(A25,Planilha1!H:H,Planilha1!J:J)</f>
        <v>0.7805428571428572</v>
      </c>
      <c r="E25" s="1">
        <f t="shared" si="1"/>
        <v>19.513571428571431</v>
      </c>
      <c r="F25">
        <f>_xlfn.XLOOKUP(A25,Planilha1!H:H,Planilha1!K:K)</f>
        <v>10</v>
      </c>
      <c r="G25" s="1">
        <f t="shared" si="0"/>
        <v>0.51246385299608321</v>
      </c>
      <c r="H25" s="5">
        <f>_xlfn.XLOOKUP(A25,Planilha1!H:H,Planilha1!L:L)</f>
        <v>4.8000000000000001E-2</v>
      </c>
      <c r="I25">
        <f>_xlfn.XLOOKUP(A25,Planilha1!H:H,Planilha1!M:M)</f>
        <v>1.32</v>
      </c>
      <c r="J25" s="1">
        <f t="shared" si="2"/>
        <v>536.62321428571431</v>
      </c>
      <c r="K25" t="str">
        <f t="shared" si="3"/>
        <v>PUCPR DIGITAL_46197</v>
      </c>
    </row>
    <row r="26" spans="1:11" x14ac:dyDescent="0.25">
      <c r="A26" t="s">
        <v>3</v>
      </c>
      <c r="B26" s="3">
        <v>46198</v>
      </c>
      <c r="C26">
        <v>36</v>
      </c>
      <c r="D26" s="5">
        <f>_xlfn.XLOOKUP(A26,Planilha1!H:H,Planilha1!J:J)</f>
        <v>0.7805428571428572</v>
      </c>
      <c r="E26" s="1">
        <f t="shared" si="1"/>
        <v>28.099542857142858</v>
      </c>
      <c r="F26">
        <f>_xlfn.XLOOKUP(A26,Planilha1!H:H,Planilha1!K:K)</f>
        <v>10</v>
      </c>
      <c r="G26" s="1">
        <f t="shared" si="0"/>
        <v>0.35587767569172452</v>
      </c>
      <c r="H26" s="5">
        <f>_xlfn.XLOOKUP(A26,Planilha1!H:H,Planilha1!L:L)</f>
        <v>4.8000000000000001E-2</v>
      </c>
      <c r="I26">
        <f>_xlfn.XLOOKUP(A26,Planilha1!H:H,Planilha1!M:M)</f>
        <v>1.32</v>
      </c>
      <c r="J26" s="1">
        <f t="shared" si="2"/>
        <v>772.73742857142861</v>
      </c>
      <c r="K26" t="str">
        <f t="shared" si="3"/>
        <v>PUCPR DIGITAL_46198</v>
      </c>
    </row>
    <row r="27" spans="1:11" x14ac:dyDescent="0.25">
      <c r="A27" t="s">
        <v>3</v>
      </c>
      <c r="B27" s="3">
        <v>46199</v>
      </c>
      <c r="C27">
        <v>35</v>
      </c>
      <c r="D27" s="5">
        <f>_xlfn.XLOOKUP(A27,Planilha1!H:H,Planilha1!J:J)</f>
        <v>0.7805428571428572</v>
      </c>
      <c r="E27" s="1">
        <f t="shared" si="1"/>
        <v>27.319000000000003</v>
      </c>
      <c r="F27">
        <f>_xlfn.XLOOKUP(A27,Planilha1!H:H,Planilha1!K:K)</f>
        <v>10</v>
      </c>
      <c r="G27" s="1">
        <f t="shared" si="0"/>
        <v>0.36604560928291663</v>
      </c>
      <c r="H27" s="5">
        <f>_xlfn.XLOOKUP(A27,Planilha1!H:H,Planilha1!L:L)</f>
        <v>4.8000000000000001E-2</v>
      </c>
      <c r="I27">
        <f>_xlfn.XLOOKUP(A27,Planilha1!H:H,Planilha1!M:M)</f>
        <v>1.32</v>
      </c>
      <c r="J27" s="1">
        <f t="shared" si="2"/>
        <v>751.27250000000004</v>
      </c>
      <c r="K27" t="str">
        <f t="shared" si="3"/>
        <v>PUCPR DIGITAL_46199</v>
      </c>
    </row>
    <row r="28" spans="1:11" x14ac:dyDescent="0.25">
      <c r="A28" t="s">
        <v>3</v>
      </c>
      <c r="B28" s="3">
        <v>46200</v>
      </c>
      <c r="C28">
        <v>5</v>
      </c>
      <c r="D28" s="5">
        <f>_xlfn.XLOOKUP(A28,Planilha1!H:H,Planilha1!J:J)</f>
        <v>0.7805428571428572</v>
      </c>
      <c r="E28" s="1">
        <f t="shared" si="1"/>
        <v>3.902714285714286</v>
      </c>
      <c r="F28">
        <f>_xlfn.XLOOKUP(A28,Planilha1!H:H,Planilha1!K:K)</f>
        <v>10</v>
      </c>
      <c r="G28" s="1">
        <f t="shared" si="0"/>
        <v>2.5623192649804163</v>
      </c>
      <c r="H28" s="5">
        <f>_xlfn.XLOOKUP(A28,Planilha1!H:H,Planilha1!L:L)</f>
        <v>4.8000000000000001E-2</v>
      </c>
      <c r="I28">
        <f>_xlfn.XLOOKUP(A28,Planilha1!H:H,Planilha1!M:M)</f>
        <v>1.32</v>
      </c>
      <c r="J28" s="1">
        <f t="shared" si="2"/>
        <v>107.32464285714286</v>
      </c>
      <c r="K28" t="str">
        <f t="shared" si="3"/>
        <v>PUCPR DIGITAL_46200</v>
      </c>
    </row>
    <row r="29" spans="1:11" x14ac:dyDescent="0.25">
      <c r="A29" t="s">
        <v>3</v>
      </c>
      <c r="B29" s="3">
        <v>46201</v>
      </c>
      <c r="C29">
        <v>0</v>
      </c>
      <c r="D29" s="5">
        <f>_xlfn.XLOOKUP(A29,Planilha1!H:H,Planilha1!J:J)</f>
        <v>0.7805428571428572</v>
      </c>
      <c r="E29" s="1">
        <f t="shared" si="1"/>
        <v>0</v>
      </c>
      <c r="F29">
        <f>_xlfn.XLOOKUP(A29,Planilha1!H:H,Planilha1!K:K)</f>
        <v>10</v>
      </c>
      <c r="G29" s="1">
        <f t="shared" si="0"/>
        <v>0</v>
      </c>
      <c r="H29" s="5">
        <f>_xlfn.XLOOKUP(A29,Planilha1!H:H,Planilha1!L:L)</f>
        <v>4.8000000000000001E-2</v>
      </c>
      <c r="I29">
        <f>_xlfn.XLOOKUP(A29,Planilha1!H:H,Planilha1!M:M)</f>
        <v>1.32</v>
      </c>
      <c r="J29" s="1">
        <f t="shared" si="2"/>
        <v>0</v>
      </c>
      <c r="K29" t="str">
        <f t="shared" si="3"/>
        <v>PUCPR DIGITAL_46201</v>
      </c>
    </row>
    <row r="30" spans="1:11" x14ac:dyDescent="0.25">
      <c r="A30" t="s">
        <v>3</v>
      </c>
      <c r="B30" s="3">
        <v>46202</v>
      </c>
      <c r="C30">
        <v>31</v>
      </c>
      <c r="D30" s="5">
        <f>_xlfn.XLOOKUP(A30,Planilha1!H:H,Planilha1!J:J)</f>
        <v>0.7805428571428572</v>
      </c>
      <c r="E30" s="1">
        <f t="shared" si="1"/>
        <v>24.196828571428572</v>
      </c>
      <c r="F30">
        <f>_xlfn.XLOOKUP(A30,Planilha1!H:H,Planilha1!K:K)</f>
        <v>10</v>
      </c>
      <c r="G30" s="1">
        <f t="shared" si="0"/>
        <v>0.413277300803293</v>
      </c>
      <c r="H30" s="5">
        <f>_xlfn.XLOOKUP(A30,Planilha1!H:H,Planilha1!L:L)</f>
        <v>4.8000000000000001E-2</v>
      </c>
      <c r="I30">
        <f>_xlfn.XLOOKUP(A30,Planilha1!H:H,Planilha1!M:M)</f>
        <v>1.32</v>
      </c>
      <c r="J30" s="1">
        <f t="shared" si="2"/>
        <v>665.41278571428575</v>
      </c>
      <c r="K30" t="str">
        <f t="shared" si="3"/>
        <v>PUCPR DIGITAL_46202</v>
      </c>
    </row>
    <row r="31" spans="1:11" x14ac:dyDescent="0.25">
      <c r="A31" t="s">
        <v>3</v>
      </c>
      <c r="B31" s="3">
        <v>46203</v>
      </c>
      <c r="C31">
        <v>32</v>
      </c>
      <c r="D31" s="5">
        <f>_xlfn.XLOOKUP(A31,Planilha1!H:H,Planilha1!J:J)</f>
        <v>0.7805428571428572</v>
      </c>
      <c r="E31" s="1">
        <f t="shared" si="1"/>
        <v>24.977371428571431</v>
      </c>
      <c r="F31">
        <f>_xlfn.XLOOKUP(A31,Planilha1!H:H,Planilha1!K:K)</f>
        <v>10</v>
      </c>
      <c r="G31" s="1">
        <f t="shared" si="0"/>
        <v>0.40036238515319006</v>
      </c>
      <c r="H31" s="5">
        <f>_xlfn.XLOOKUP(A31,Planilha1!H:H,Planilha1!L:L)</f>
        <v>4.8000000000000001E-2</v>
      </c>
      <c r="I31">
        <f>_xlfn.XLOOKUP(A31,Planilha1!H:H,Planilha1!M:M)</f>
        <v>1.32</v>
      </c>
      <c r="J31" s="1">
        <f t="shared" si="2"/>
        <v>686.87771428571443</v>
      </c>
      <c r="K31" t="str">
        <f t="shared" si="3"/>
        <v>PUCPR DIGITAL_46203</v>
      </c>
    </row>
    <row r="32" spans="1:11" x14ac:dyDescent="0.25">
      <c r="A32" t="s">
        <v>20</v>
      </c>
      <c r="B32" s="3">
        <v>46174</v>
      </c>
      <c r="C32">
        <v>5</v>
      </c>
      <c r="D32" s="5">
        <f>_xlfn.XLOOKUP(A32,Planilha1!H:H,Planilha1!J:J)</f>
        <v>0.9</v>
      </c>
      <c r="E32" s="1">
        <f t="shared" si="1"/>
        <v>4.5</v>
      </c>
      <c r="F32">
        <f>_xlfn.XLOOKUP(A32,Planilha1!H:H,Planilha1!K:K)</f>
        <v>2</v>
      </c>
      <c r="G32" s="1">
        <f t="shared" si="0"/>
        <v>0.44444444444444442</v>
      </c>
      <c r="H32" s="5">
        <f>_xlfn.XLOOKUP(A32,Planilha1!H:H,Planilha1!L:L)</f>
        <v>5.6000000000000001E-2</v>
      </c>
      <c r="I32">
        <f>_xlfn.XLOOKUP(A32,Planilha1!H:H,Planilha1!M:M)</f>
        <v>1.35</v>
      </c>
      <c r="J32" s="1">
        <f t="shared" si="2"/>
        <v>108.48214285714288</v>
      </c>
      <c r="K32" t="str">
        <f t="shared" si="3"/>
        <v>FDC_46174</v>
      </c>
    </row>
    <row r="33" spans="1:11" x14ac:dyDescent="0.25">
      <c r="A33" t="s">
        <v>20</v>
      </c>
      <c r="B33" s="3">
        <v>46175</v>
      </c>
      <c r="C33">
        <v>5</v>
      </c>
      <c r="D33" s="5">
        <f>_xlfn.XLOOKUP(A33,Planilha1!H:H,Planilha1!J:J)</f>
        <v>0.9</v>
      </c>
      <c r="E33" s="1">
        <f t="shared" si="1"/>
        <v>4.5</v>
      </c>
      <c r="F33">
        <f>_xlfn.XLOOKUP(A33,Planilha1!H:H,Planilha1!K:K)</f>
        <v>2</v>
      </c>
      <c r="G33" s="1">
        <f t="shared" si="0"/>
        <v>0.44444444444444442</v>
      </c>
      <c r="H33" s="5">
        <f>_xlfn.XLOOKUP(A33,Planilha1!H:H,Planilha1!L:L)</f>
        <v>5.6000000000000001E-2</v>
      </c>
      <c r="I33">
        <f>_xlfn.XLOOKUP(A33,Planilha1!H:H,Planilha1!M:M)</f>
        <v>1.35</v>
      </c>
      <c r="J33" s="1">
        <f t="shared" si="2"/>
        <v>108.48214285714288</v>
      </c>
      <c r="K33" t="str">
        <f t="shared" si="3"/>
        <v>FDC_46175</v>
      </c>
    </row>
    <row r="34" spans="1:11" x14ac:dyDescent="0.25">
      <c r="A34" t="s">
        <v>20</v>
      </c>
      <c r="B34" s="3">
        <v>46176</v>
      </c>
      <c r="C34">
        <v>5</v>
      </c>
      <c r="D34" s="5">
        <f>_xlfn.XLOOKUP(A34,Planilha1!H:H,Planilha1!J:J)</f>
        <v>0.9</v>
      </c>
      <c r="E34" s="1">
        <f t="shared" si="1"/>
        <v>4.5</v>
      </c>
      <c r="F34">
        <f>_xlfn.XLOOKUP(A34,Planilha1!H:H,Planilha1!K:K)</f>
        <v>2</v>
      </c>
      <c r="G34" s="1">
        <f t="shared" si="0"/>
        <v>0.44444444444444442</v>
      </c>
      <c r="H34" s="5">
        <f>_xlfn.XLOOKUP(A34,Planilha1!H:H,Planilha1!L:L)</f>
        <v>5.6000000000000001E-2</v>
      </c>
      <c r="I34">
        <f>_xlfn.XLOOKUP(A34,Planilha1!H:H,Planilha1!M:M)</f>
        <v>1.35</v>
      </c>
      <c r="J34" s="1">
        <f t="shared" si="2"/>
        <v>108.48214285714288</v>
      </c>
      <c r="K34" t="str">
        <f t="shared" si="3"/>
        <v>FDC_46176</v>
      </c>
    </row>
    <row r="35" spans="1:11" x14ac:dyDescent="0.25">
      <c r="A35" t="s">
        <v>20</v>
      </c>
      <c r="B35" s="3">
        <v>46177</v>
      </c>
      <c r="C35">
        <v>0</v>
      </c>
      <c r="D35" s="5">
        <f>_xlfn.XLOOKUP(A35,Planilha1!H:H,Planilha1!J:J)</f>
        <v>0.9</v>
      </c>
      <c r="E35" s="1">
        <f t="shared" si="1"/>
        <v>0</v>
      </c>
      <c r="F35">
        <f>_xlfn.XLOOKUP(A35,Planilha1!H:H,Planilha1!K:K)</f>
        <v>2</v>
      </c>
      <c r="G35" s="1">
        <f t="shared" si="0"/>
        <v>0</v>
      </c>
      <c r="H35" s="5">
        <f>_xlfn.XLOOKUP(A35,Planilha1!H:H,Planilha1!L:L)</f>
        <v>5.6000000000000001E-2</v>
      </c>
      <c r="I35">
        <f>_xlfn.XLOOKUP(A35,Planilha1!H:H,Planilha1!M:M)</f>
        <v>1.35</v>
      </c>
      <c r="J35" s="1">
        <f t="shared" si="2"/>
        <v>0</v>
      </c>
      <c r="K35" t="str">
        <f t="shared" si="3"/>
        <v>FDC_46177</v>
      </c>
    </row>
    <row r="36" spans="1:11" x14ac:dyDescent="0.25">
      <c r="A36" t="s">
        <v>20</v>
      </c>
      <c r="B36" s="3">
        <v>46178</v>
      </c>
      <c r="C36">
        <v>2</v>
      </c>
      <c r="D36" s="5">
        <f>_xlfn.XLOOKUP(A36,Planilha1!H:H,Planilha1!J:J)</f>
        <v>0.9</v>
      </c>
      <c r="E36" s="1">
        <f t="shared" si="1"/>
        <v>1.8</v>
      </c>
      <c r="F36">
        <f>_xlfn.XLOOKUP(A36,Planilha1!H:H,Planilha1!K:K)</f>
        <v>2</v>
      </c>
      <c r="G36" s="1">
        <f t="shared" si="0"/>
        <v>1.1111111111111112</v>
      </c>
      <c r="H36" s="5">
        <f>_xlfn.XLOOKUP(A36,Planilha1!H:H,Planilha1!L:L)</f>
        <v>5.6000000000000001E-2</v>
      </c>
      <c r="I36">
        <f>_xlfn.XLOOKUP(A36,Planilha1!H:H,Planilha1!M:M)</f>
        <v>1.35</v>
      </c>
      <c r="J36" s="1">
        <f t="shared" si="2"/>
        <v>43.392857142857153</v>
      </c>
      <c r="K36" t="str">
        <f t="shared" si="3"/>
        <v>FDC_46178</v>
      </c>
    </row>
    <row r="37" spans="1:11" x14ac:dyDescent="0.25">
      <c r="A37" t="s">
        <v>20</v>
      </c>
      <c r="B37" s="3">
        <v>46179</v>
      </c>
      <c r="C37">
        <v>0</v>
      </c>
      <c r="D37" s="5">
        <f>_xlfn.XLOOKUP(A37,Planilha1!H:H,Planilha1!J:J)</f>
        <v>0.9</v>
      </c>
      <c r="E37" s="1">
        <f t="shared" si="1"/>
        <v>0</v>
      </c>
      <c r="F37">
        <f>_xlfn.XLOOKUP(A37,Planilha1!H:H,Planilha1!K:K)</f>
        <v>2</v>
      </c>
      <c r="G37" s="1">
        <f t="shared" si="0"/>
        <v>0</v>
      </c>
      <c r="H37" s="5">
        <f>_xlfn.XLOOKUP(A37,Planilha1!H:H,Planilha1!L:L)</f>
        <v>5.6000000000000001E-2</v>
      </c>
      <c r="I37">
        <f>_xlfn.XLOOKUP(A37,Planilha1!H:H,Planilha1!M:M)</f>
        <v>1.35</v>
      </c>
      <c r="J37" s="1">
        <f t="shared" si="2"/>
        <v>0</v>
      </c>
      <c r="K37" t="str">
        <f t="shared" si="3"/>
        <v>FDC_46179</v>
      </c>
    </row>
    <row r="38" spans="1:11" x14ac:dyDescent="0.25">
      <c r="A38" t="s">
        <v>20</v>
      </c>
      <c r="B38" s="3">
        <v>46180</v>
      </c>
      <c r="C38">
        <v>0</v>
      </c>
      <c r="D38" s="5">
        <f>_xlfn.XLOOKUP(A38,Planilha1!H:H,Planilha1!J:J)</f>
        <v>0.9</v>
      </c>
      <c r="E38" s="1">
        <f t="shared" si="1"/>
        <v>0</v>
      </c>
      <c r="F38">
        <f>_xlfn.XLOOKUP(A38,Planilha1!H:H,Planilha1!K:K)</f>
        <v>2</v>
      </c>
      <c r="G38" s="1">
        <f t="shared" si="0"/>
        <v>0</v>
      </c>
      <c r="H38" s="5">
        <f>_xlfn.XLOOKUP(A38,Planilha1!H:H,Planilha1!L:L)</f>
        <v>5.6000000000000001E-2</v>
      </c>
      <c r="I38">
        <f>_xlfn.XLOOKUP(A38,Planilha1!H:H,Planilha1!M:M)</f>
        <v>1.35</v>
      </c>
      <c r="J38" s="1">
        <f t="shared" si="2"/>
        <v>0</v>
      </c>
      <c r="K38" t="str">
        <f t="shared" si="3"/>
        <v>FDC_46180</v>
      </c>
    </row>
    <row r="39" spans="1:11" x14ac:dyDescent="0.25">
      <c r="A39" t="s">
        <v>20</v>
      </c>
      <c r="B39" s="3">
        <v>46181</v>
      </c>
      <c r="C39">
        <v>9</v>
      </c>
      <c r="D39" s="5">
        <f>_xlfn.XLOOKUP(A39,Planilha1!H:H,Planilha1!J:J)</f>
        <v>0.9</v>
      </c>
      <c r="E39" s="1">
        <f t="shared" si="1"/>
        <v>8.1</v>
      </c>
      <c r="F39">
        <f>_xlfn.XLOOKUP(A39,Planilha1!H:H,Planilha1!K:K)</f>
        <v>2</v>
      </c>
      <c r="G39" s="1">
        <f t="shared" si="0"/>
        <v>0.24691358024691359</v>
      </c>
      <c r="H39" s="5">
        <f>_xlfn.XLOOKUP(A39,Planilha1!H:H,Planilha1!L:L)</f>
        <v>5.6000000000000001E-2</v>
      </c>
      <c r="I39">
        <f>_xlfn.XLOOKUP(A39,Planilha1!H:H,Planilha1!M:M)</f>
        <v>1.35</v>
      </c>
      <c r="J39" s="1">
        <f t="shared" si="2"/>
        <v>195.26785714285714</v>
      </c>
      <c r="K39" t="str">
        <f t="shared" si="3"/>
        <v>FDC_46181</v>
      </c>
    </row>
    <row r="40" spans="1:11" x14ac:dyDescent="0.25">
      <c r="A40" t="s">
        <v>20</v>
      </c>
      <c r="B40" s="3">
        <v>46182</v>
      </c>
      <c r="C40">
        <v>8</v>
      </c>
      <c r="D40" s="5">
        <f>_xlfn.XLOOKUP(A40,Planilha1!H:H,Planilha1!J:J)</f>
        <v>0.9</v>
      </c>
      <c r="E40" s="1">
        <f t="shared" si="1"/>
        <v>7.2</v>
      </c>
      <c r="F40">
        <f>_xlfn.XLOOKUP(A40,Planilha1!H:H,Planilha1!K:K)</f>
        <v>2</v>
      </c>
      <c r="G40" s="1">
        <f t="shared" si="0"/>
        <v>0.27777777777777779</v>
      </c>
      <c r="H40" s="5">
        <f>_xlfn.XLOOKUP(A40,Planilha1!H:H,Planilha1!L:L)</f>
        <v>5.6000000000000001E-2</v>
      </c>
      <c r="I40">
        <f>_xlfn.XLOOKUP(A40,Planilha1!H:H,Planilha1!M:M)</f>
        <v>1.35</v>
      </c>
      <c r="J40" s="1">
        <f t="shared" si="2"/>
        <v>173.57142857142861</v>
      </c>
      <c r="K40" t="str">
        <f t="shared" si="3"/>
        <v>FDC_46182</v>
      </c>
    </row>
    <row r="41" spans="1:11" x14ac:dyDescent="0.25">
      <c r="A41" t="s">
        <v>20</v>
      </c>
      <c r="B41" s="3">
        <v>46183</v>
      </c>
      <c r="C41">
        <v>7</v>
      </c>
      <c r="D41" s="5">
        <f>_xlfn.XLOOKUP(A41,Planilha1!H:H,Planilha1!J:J)</f>
        <v>0.9</v>
      </c>
      <c r="E41" s="1">
        <f t="shared" si="1"/>
        <v>6.3</v>
      </c>
      <c r="F41">
        <f>_xlfn.XLOOKUP(A41,Planilha1!H:H,Planilha1!K:K)</f>
        <v>2</v>
      </c>
      <c r="G41" s="1">
        <f t="shared" si="0"/>
        <v>0.31746031746031744</v>
      </c>
      <c r="H41" s="5">
        <f>_xlfn.XLOOKUP(A41,Planilha1!H:H,Planilha1!L:L)</f>
        <v>5.6000000000000001E-2</v>
      </c>
      <c r="I41">
        <f>_xlfn.XLOOKUP(A41,Planilha1!H:H,Planilha1!M:M)</f>
        <v>1.35</v>
      </c>
      <c r="J41" s="1">
        <f t="shared" si="2"/>
        <v>151.875</v>
      </c>
      <c r="K41" t="str">
        <f t="shared" si="3"/>
        <v>FDC_46183</v>
      </c>
    </row>
    <row r="42" spans="1:11" x14ac:dyDescent="0.25">
      <c r="A42" t="s">
        <v>20</v>
      </c>
      <c r="B42" s="3">
        <v>46184</v>
      </c>
      <c r="C42">
        <v>7</v>
      </c>
      <c r="D42" s="5">
        <f>_xlfn.XLOOKUP(A42,Planilha1!H:H,Planilha1!J:J)</f>
        <v>0.9</v>
      </c>
      <c r="E42" s="1">
        <f t="shared" si="1"/>
        <v>6.3</v>
      </c>
      <c r="F42">
        <f>_xlfn.XLOOKUP(A42,Planilha1!H:H,Planilha1!K:K)</f>
        <v>2</v>
      </c>
      <c r="G42" s="1">
        <f t="shared" si="0"/>
        <v>0.31746031746031744</v>
      </c>
      <c r="H42" s="5">
        <f>_xlfn.XLOOKUP(A42,Planilha1!H:H,Planilha1!L:L)</f>
        <v>5.6000000000000001E-2</v>
      </c>
      <c r="I42">
        <f>_xlfn.XLOOKUP(A42,Planilha1!H:H,Planilha1!M:M)</f>
        <v>1.35</v>
      </c>
      <c r="J42" s="1">
        <f t="shared" si="2"/>
        <v>151.875</v>
      </c>
      <c r="K42" t="str">
        <f t="shared" si="3"/>
        <v>FDC_46184</v>
      </c>
    </row>
    <row r="43" spans="1:11" x14ac:dyDescent="0.25">
      <c r="A43" t="s">
        <v>20</v>
      </c>
      <c r="B43" s="3">
        <v>46185</v>
      </c>
      <c r="C43">
        <v>5</v>
      </c>
      <c r="D43" s="5">
        <f>_xlfn.XLOOKUP(A43,Planilha1!H:H,Planilha1!J:J)</f>
        <v>0.9</v>
      </c>
      <c r="E43" s="1">
        <f t="shared" si="1"/>
        <v>4.5</v>
      </c>
      <c r="F43">
        <f>_xlfn.XLOOKUP(A43,Planilha1!H:H,Planilha1!K:K)</f>
        <v>2</v>
      </c>
      <c r="G43" s="1">
        <f t="shared" si="0"/>
        <v>0.44444444444444442</v>
      </c>
      <c r="H43" s="5">
        <f>_xlfn.XLOOKUP(A43,Planilha1!H:H,Planilha1!L:L)</f>
        <v>5.6000000000000001E-2</v>
      </c>
      <c r="I43">
        <f>_xlfn.XLOOKUP(A43,Planilha1!H:H,Planilha1!M:M)</f>
        <v>1.35</v>
      </c>
      <c r="J43" s="1">
        <f t="shared" si="2"/>
        <v>108.48214285714288</v>
      </c>
      <c r="K43" t="str">
        <f t="shared" si="3"/>
        <v>FDC_46185</v>
      </c>
    </row>
    <row r="44" spans="1:11" x14ac:dyDescent="0.25">
      <c r="A44" t="s">
        <v>20</v>
      </c>
      <c r="B44" s="3">
        <v>46186</v>
      </c>
      <c r="C44">
        <v>0</v>
      </c>
      <c r="D44" s="5">
        <f>_xlfn.XLOOKUP(A44,Planilha1!H:H,Planilha1!J:J)</f>
        <v>0.9</v>
      </c>
      <c r="E44" s="1">
        <f t="shared" si="1"/>
        <v>0</v>
      </c>
      <c r="F44">
        <f>_xlfn.XLOOKUP(A44,Planilha1!H:H,Planilha1!K:K)</f>
        <v>2</v>
      </c>
      <c r="G44" s="1">
        <f t="shared" si="0"/>
        <v>0</v>
      </c>
      <c r="H44" s="5">
        <f>_xlfn.XLOOKUP(A44,Planilha1!H:H,Planilha1!L:L)</f>
        <v>5.6000000000000001E-2</v>
      </c>
      <c r="I44">
        <f>_xlfn.XLOOKUP(A44,Planilha1!H:H,Planilha1!M:M)</f>
        <v>1.35</v>
      </c>
      <c r="J44" s="1">
        <f t="shared" si="2"/>
        <v>0</v>
      </c>
      <c r="K44" t="str">
        <f t="shared" si="3"/>
        <v>FDC_46186</v>
      </c>
    </row>
    <row r="45" spans="1:11" x14ac:dyDescent="0.25">
      <c r="A45" t="s">
        <v>20</v>
      </c>
      <c r="B45" s="3">
        <v>46187</v>
      </c>
      <c r="C45">
        <v>0</v>
      </c>
      <c r="D45" s="5">
        <f>_xlfn.XLOOKUP(A45,Planilha1!H:H,Planilha1!J:J)</f>
        <v>0.9</v>
      </c>
      <c r="E45" s="1">
        <f t="shared" si="1"/>
        <v>0</v>
      </c>
      <c r="F45">
        <f>_xlfn.XLOOKUP(A45,Planilha1!H:H,Planilha1!K:K)</f>
        <v>2</v>
      </c>
      <c r="G45" s="1">
        <f t="shared" si="0"/>
        <v>0</v>
      </c>
      <c r="H45" s="5">
        <f>_xlfn.XLOOKUP(A45,Planilha1!H:H,Planilha1!L:L)</f>
        <v>5.6000000000000001E-2</v>
      </c>
      <c r="I45">
        <f>_xlfn.XLOOKUP(A45,Planilha1!H:H,Planilha1!M:M)</f>
        <v>1.35</v>
      </c>
      <c r="J45" s="1">
        <f t="shared" si="2"/>
        <v>0</v>
      </c>
      <c r="K45" t="str">
        <f t="shared" si="3"/>
        <v>FDC_46187</v>
      </c>
    </row>
    <row r="46" spans="1:11" x14ac:dyDescent="0.25">
      <c r="A46" t="s">
        <v>20</v>
      </c>
      <c r="B46" s="3">
        <v>46188</v>
      </c>
      <c r="C46">
        <v>5</v>
      </c>
      <c r="D46" s="5">
        <f>_xlfn.XLOOKUP(A46,Planilha1!H:H,Planilha1!J:J)</f>
        <v>0.9</v>
      </c>
      <c r="E46" s="1">
        <f t="shared" si="1"/>
        <v>4.5</v>
      </c>
      <c r="F46">
        <f>_xlfn.XLOOKUP(A46,Planilha1!H:H,Planilha1!K:K)</f>
        <v>2</v>
      </c>
      <c r="G46" s="1">
        <f t="shared" si="0"/>
        <v>0.44444444444444442</v>
      </c>
      <c r="H46" s="5">
        <f>_xlfn.XLOOKUP(A46,Planilha1!H:H,Planilha1!L:L)</f>
        <v>5.6000000000000001E-2</v>
      </c>
      <c r="I46">
        <f>_xlfn.XLOOKUP(A46,Planilha1!H:H,Planilha1!M:M)</f>
        <v>1.35</v>
      </c>
      <c r="J46" s="1">
        <f t="shared" si="2"/>
        <v>108.48214285714288</v>
      </c>
      <c r="K46" t="str">
        <f t="shared" si="3"/>
        <v>FDC_46188</v>
      </c>
    </row>
    <row r="47" spans="1:11" x14ac:dyDescent="0.25">
      <c r="A47" t="s">
        <v>20</v>
      </c>
      <c r="B47" s="3">
        <v>46189</v>
      </c>
      <c r="C47">
        <v>5</v>
      </c>
      <c r="D47" s="5">
        <f>_xlfn.XLOOKUP(A47,Planilha1!H:H,Planilha1!J:J)</f>
        <v>0.9</v>
      </c>
      <c r="E47" s="1">
        <f t="shared" si="1"/>
        <v>4.5</v>
      </c>
      <c r="F47">
        <f>_xlfn.XLOOKUP(A47,Planilha1!H:H,Planilha1!K:K)</f>
        <v>2</v>
      </c>
      <c r="G47" s="1">
        <f t="shared" si="0"/>
        <v>0.44444444444444442</v>
      </c>
      <c r="H47" s="5">
        <f>_xlfn.XLOOKUP(A47,Planilha1!H:H,Planilha1!L:L)</f>
        <v>5.6000000000000001E-2</v>
      </c>
      <c r="I47">
        <f>_xlfn.XLOOKUP(A47,Planilha1!H:H,Planilha1!M:M)</f>
        <v>1.35</v>
      </c>
      <c r="J47" s="1">
        <f t="shared" si="2"/>
        <v>108.48214285714288</v>
      </c>
      <c r="K47" t="str">
        <f t="shared" si="3"/>
        <v>FDC_46189</v>
      </c>
    </row>
    <row r="48" spans="1:11" x14ac:dyDescent="0.25">
      <c r="A48" t="s">
        <v>20</v>
      </c>
      <c r="B48" s="3">
        <v>46190</v>
      </c>
      <c r="C48">
        <v>5</v>
      </c>
      <c r="D48" s="5">
        <f>_xlfn.XLOOKUP(A48,Planilha1!H:H,Planilha1!J:J)</f>
        <v>0.9</v>
      </c>
      <c r="E48" s="1">
        <f t="shared" si="1"/>
        <v>4.5</v>
      </c>
      <c r="F48">
        <f>_xlfn.XLOOKUP(A48,Planilha1!H:H,Planilha1!K:K)</f>
        <v>2</v>
      </c>
      <c r="G48" s="1">
        <f t="shared" si="0"/>
        <v>0.44444444444444442</v>
      </c>
      <c r="H48" s="5">
        <f>_xlfn.XLOOKUP(A48,Planilha1!H:H,Planilha1!L:L)</f>
        <v>5.6000000000000001E-2</v>
      </c>
      <c r="I48">
        <f>_xlfn.XLOOKUP(A48,Planilha1!H:H,Planilha1!M:M)</f>
        <v>1.35</v>
      </c>
      <c r="J48" s="1">
        <f t="shared" si="2"/>
        <v>108.48214285714288</v>
      </c>
      <c r="K48" t="str">
        <f t="shared" si="3"/>
        <v>FDC_46190</v>
      </c>
    </row>
    <row r="49" spans="1:11" x14ac:dyDescent="0.25">
      <c r="A49" t="s">
        <v>20</v>
      </c>
      <c r="B49" s="3">
        <v>46191</v>
      </c>
      <c r="C49">
        <v>5</v>
      </c>
      <c r="D49" s="5">
        <f>_xlfn.XLOOKUP(A49,Planilha1!H:H,Planilha1!J:J)</f>
        <v>0.9</v>
      </c>
      <c r="E49" s="1">
        <f t="shared" si="1"/>
        <v>4.5</v>
      </c>
      <c r="F49">
        <f>_xlfn.XLOOKUP(A49,Planilha1!H:H,Planilha1!K:K)</f>
        <v>2</v>
      </c>
      <c r="G49" s="1">
        <f t="shared" si="0"/>
        <v>0.44444444444444442</v>
      </c>
      <c r="H49" s="5">
        <f>_xlfn.XLOOKUP(A49,Planilha1!H:H,Planilha1!L:L)</f>
        <v>5.6000000000000001E-2</v>
      </c>
      <c r="I49">
        <f>_xlfn.XLOOKUP(A49,Planilha1!H:H,Planilha1!M:M)</f>
        <v>1.35</v>
      </c>
      <c r="J49" s="1">
        <f t="shared" si="2"/>
        <v>108.48214285714288</v>
      </c>
      <c r="K49" t="str">
        <f t="shared" si="3"/>
        <v>FDC_46191</v>
      </c>
    </row>
    <row r="50" spans="1:11" x14ac:dyDescent="0.25">
      <c r="A50" t="s">
        <v>20</v>
      </c>
      <c r="B50" s="3">
        <v>46192</v>
      </c>
      <c r="C50">
        <v>5</v>
      </c>
      <c r="D50" s="5">
        <f>_xlfn.XLOOKUP(A50,Planilha1!H:H,Planilha1!J:J)</f>
        <v>0.9</v>
      </c>
      <c r="E50" s="1">
        <f t="shared" si="1"/>
        <v>4.5</v>
      </c>
      <c r="F50">
        <f>_xlfn.XLOOKUP(A50,Planilha1!H:H,Planilha1!K:K)</f>
        <v>2</v>
      </c>
      <c r="G50" s="1">
        <f t="shared" si="0"/>
        <v>0.44444444444444442</v>
      </c>
      <c r="H50" s="5">
        <f>_xlfn.XLOOKUP(A50,Planilha1!H:H,Planilha1!L:L)</f>
        <v>5.6000000000000001E-2</v>
      </c>
      <c r="I50">
        <f>_xlfn.XLOOKUP(A50,Planilha1!H:H,Planilha1!M:M)</f>
        <v>1.35</v>
      </c>
      <c r="J50" s="1">
        <f t="shared" si="2"/>
        <v>108.48214285714288</v>
      </c>
      <c r="K50" t="str">
        <f t="shared" si="3"/>
        <v>FDC_46192</v>
      </c>
    </row>
    <row r="51" spans="1:11" x14ac:dyDescent="0.25">
      <c r="A51" t="s">
        <v>20</v>
      </c>
      <c r="B51" s="3">
        <v>46193</v>
      </c>
      <c r="C51">
        <v>0</v>
      </c>
      <c r="D51" s="5">
        <f>_xlfn.XLOOKUP(A51,Planilha1!H:H,Planilha1!J:J)</f>
        <v>0.9</v>
      </c>
      <c r="E51" s="1">
        <f t="shared" si="1"/>
        <v>0</v>
      </c>
      <c r="F51">
        <f>_xlfn.XLOOKUP(A51,Planilha1!H:H,Planilha1!K:K)</f>
        <v>2</v>
      </c>
      <c r="G51" s="1">
        <f t="shared" si="0"/>
        <v>0</v>
      </c>
      <c r="H51" s="5">
        <f>_xlfn.XLOOKUP(A51,Planilha1!H:H,Planilha1!L:L)</f>
        <v>5.6000000000000001E-2</v>
      </c>
      <c r="I51">
        <f>_xlfn.XLOOKUP(A51,Planilha1!H:H,Planilha1!M:M)</f>
        <v>1.35</v>
      </c>
      <c r="J51" s="1">
        <f t="shared" si="2"/>
        <v>0</v>
      </c>
      <c r="K51" t="str">
        <f t="shared" si="3"/>
        <v>FDC_46193</v>
      </c>
    </row>
    <row r="52" spans="1:11" x14ac:dyDescent="0.25">
      <c r="A52" t="s">
        <v>20</v>
      </c>
      <c r="B52" s="3">
        <v>46194</v>
      </c>
      <c r="C52">
        <v>0</v>
      </c>
      <c r="D52" s="5">
        <f>_xlfn.XLOOKUP(A52,Planilha1!H:H,Planilha1!J:J)</f>
        <v>0.9</v>
      </c>
      <c r="E52" s="1">
        <f t="shared" si="1"/>
        <v>0</v>
      </c>
      <c r="F52">
        <f>_xlfn.XLOOKUP(A52,Planilha1!H:H,Planilha1!K:K)</f>
        <v>2</v>
      </c>
      <c r="G52" s="1">
        <f t="shared" si="0"/>
        <v>0</v>
      </c>
      <c r="H52" s="5">
        <f>_xlfn.XLOOKUP(A52,Planilha1!H:H,Planilha1!L:L)</f>
        <v>5.6000000000000001E-2</v>
      </c>
      <c r="I52">
        <f>_xlfn.XLOOKUP(A52,Planilha1!H:H,Planilha1!M:M)</f>
        <v>1.35</v>
      </c>
      <c r="J52" s="1">
        <f t="shared" si="2"/>
        <v>0</v>
      </c>
      <c r="K52" t="str">
        <f t="shared" si="3"/>
        <v>FDC_46194</v>
      </c>
    </row>
    <row r="53" spans="1:11" x14ac:dyDescent="0.25">
      <c r="A53" t="s">
        <v>20</v>
      </c>
      <c r="B53" s="3">
        <v>46195</v>
      </c>
      <c r="C53">
        <v>6</v>
      </c>
      <c r="D53" s="5">
        <f>_xlfn.XLOOKUP(A53,Planilha1!H:H,Planilha1!J:J)</f>
        <v>0.9</v>
      </c>
      <c r="E53" s="1">
        <f t="shared" si="1"/>
        <v>5.4</v>
      </c>
      <c r="F53">
        <f>_xlfn.XLOOKUP(A53,Planilha1!H:H,Planilha1!K:K)</f>
        <v>2</v>
      </c>
      <c r="G53" s="1">
        <f t="shared" si="0"/>
        <v>0.37037037037037035</v>
      </c>
      <c r="H53" s="5">
        <f>_xlfn.XLOOKUP(A53,Planilha1!H:H,Planilha1!L:L)</f>
        <v>5.6000000000000001E-2</v>
      </c>
      <c r="I53">
        <f>_xlfn.XLOOKUP(A53,Planilha1!H:H,Planilha1!M:M)</f>
        <v>1.35</v>
      </c>
      <c r="J53" s="1">
        <f t="shared" si="2"/>
        <v>130.17857142857144</v>
      </c>
      <c r="K53" t="str">
        <f t="shared" si="3"/>
        <v>FDC_46195</v>
      </c>
    </row>
    <row r="54" spans="1:11" x14ac:dyDescent="0.25">
      <c r="A54" t="s">
        <v>20</v>
      </c>
      <c r="B54" s="3">
        <v>46196</v>
      </c>
      <c r="C54">
        <v>6</v>
      </c>
      <c r="D54" s="5">
        <f>_xlfn.XLOOKUP(A54,Planilha1!H:H,Planilha1!J:J)</f>
        <v>0.9</v>
      </c>
      <c r="E54" s="1">
        <f t="shared" si="1"/>
        <v>5.4</v>
      </c>
      <c r="F54">
        <f>_xlfn.XLOOKUP(A54,Planilha1!H:H,Planilha1!K:K)</f>
        <v>2</v>
      </c>
      <c r="G54" s="1">
        <f t="shared" si="0"/>
        <v>0.37037037037037035</v>
      </c>
      <c r="H54" s="5">
        <f>_xlfn.XLOOKUP(A54,Planilha1!H:H,Planilha1!L:L)</f>
        <v>5.6000000000000001E-2</v>
      </c>
      <c r="I54">
        <f>_xlfn.XLOOKUP(A54,Planilha1!H:H,Planilha1!M:M)</f>
        <v>1.35</v>
      </c>
      <c r="J54" s="1">
        <f t="shared" si="2"/>
        <v>130.17857142857144</v>
      </c>
      <c r="K54" t="str">
        <f t="shared" si="3"/>
        <v>FDC_46196</v>
      </c>
    </row>
    <row r="55" spans="1:11" x14ac:dyDescent="0.25">
      <c r="A55" t="s">
        <v>20</v>
      </c>
      <c r="B55" s="3">
        <v>46197</v>
      </c>
      <c r="C55">
        <v>4</v>
      </c>
      <c r="D55" s="5">
        <f>_xlfn.XLOOKUP(A55,Planilha1!H:H,Planilha1!J:J)</f>
        <v>0.9</v>
      </c>
      <c r="E55" s="1">
        <f t="shared" si="1"/>
        <v>3.6</v>
      </c>
      <c r="F55">
        <f>_xlfn.XLOOKUP(A55,Planilha1!H:H,Planilha1!K:K)</f>
        <v>2</v>
      </c>
      <c r="G55" s="1">
        <f t="shared" si="0"/>
        <v>0.55555555555555558</v>
      </c>
      <c r="H55" s="5">
        <f>_xlfn.XLOOKUP(A55,Planilha1!H:H,Planilha1!L:L)</f>
        <v>5.6000000000000001E-2</v>
      </c>
      <c r="I55">
        <f>_xlfn.XLOOKUP(A55,Planilha1!H:H,Planilha1!M:M)</f>
        <v>1.35</v>
      </c>
      <c r="J55" s="1">
        <f t="shared" si="2"/>
        <v>86.785714285714306</v>
      </c>
      <c r="K55" t="str">
        <f t="shared" si="3"/>
        <v>FDC_46197</v>
      </c>
    </row>
    <row r="56" spans="1:11" x14ac:dyDescent="0.25">
      <c r="A56" t="s">
        <v>20</v>
      </c>
      <c r="B56" s="3">
        <v>46198</v>
      </c>
      <c r="C56">
        <v>6</v>
      </c>
      <c r="D56" s="5">
        <f>_xlfn.XLOOKUP(A56,Planilha1!H:H,Planilha1!J:J)</f>
        <v>0.9</v>
      </c>
      <c r="E56" s="1">
        <f t="shared" si="1"/>
        <v>5.4</v>
      </c>
      <c r="F56">
        <f>_xlfn.XLOOKUP(A56,Planilha1!H:H,Planilha1!K:K)</f>
        <v>2</v>
      </c>
      <c r="G56" s="1">
        <f t="shared" si="0"/>
        <v>0.37037037037037035</v>
      </c>
      <c r="H56" s="5">
        <f>_xlfn.XLOOKUP(A56,Planilha1!H:H,Planilha1!L:L)</f>
        <v>5.6000000000000001E-2</v>
      </c>
      <c r="I56">
        <f>_xlfn.XLOOKUP(A56,Planilha1!H:H,Planilha1!M:M)</f>
        <v>1.35</v>
      </c>
      <c r="J56" s="1">
        <f t="shared" si="2"/>
        <v>130.17857142857144</v>
      </c>
      <c r="K56" t="str">
        <f t="shared" si="3"/>
        <v>FDC_46198</v>
      </c>
    </row>
    <row r="57" spans="1:11" x14ac:dyDescent="0.25">
      <c r="A57" t="s">
        <v>20</v>
      </c>
      <c r="B57" s="3">
        <v>46199</v>
      </c>
      <c r="C57">
        <v>6</v>
      </c>
      <c r="D57" s="5">
        <f>_xlfn.XLOOKUP(A57,Planilha1!H:H,Planilha1!J:J)</f>
        <v>0.9</v>
      </c>
      <c r="E57" s="1">
        <f t="shared" si="1"/>
        <v>5.4</v>
      </c>
      <c r="F57">
        <f>_xlfn.XLOOKUP(A57,Planilha1!H:H,Planilha1!K:K)</f>
        <v>2</v>
      </c>
      <c r="G57" s="1">
        <f t="shared" si="0"/>
        <v>0.37037037037037035</v>
      </c>
      <c r="H57" s="5">
        <f>_xlfn.XLOOKUP(A57,Planilha1!H:H,Planilha1!L:L)</f>
        <v>5.6000000000000001E-2</v>
      </c>
      <c r="I57">
        <f>_xlfn.XLOOKUP(A57,Planilha1!H:H,Planilha1!M:M)</f>
        <v>1.35</v>
      </c>
      <c r="J57" s="1">
        <f t="shared" si="2"/>
        <v>130.17857142857144</v>
      </c>
      <c r="K57" t="str">
        <f t="shared" si="3"/>
        <v>FDC_46199</v>
      </c>
    </row>
    <row r="58" spans="1:11" x14ac:dyDescent="0.25">
      <c r="A58" t="s">
        <v>20</v>
      </c>
      <c r="B58" s="3">
        <v>46200</v>
      </c>
      <c r="C58">
        <v>0</v>
      </c>
      <c r="D58" s="5">
        <f>_xlfn.XLOOKUP(A58,Planilha1!H:H,Planilha1!J:J)</f>
        <v>0.9</v>
      </c>
      <c r="E58" s="1">
        <f t="shared" si="1"/>
        <v>0</v>
      </c>
      <c r="F58">
        <f>_xlfn.XLOOKUP(A58,Planilha1!H:H,Planilha1!K:K)</f>
        <v>2</v>
      </c>
      <c r="G58" s="1">
        <f t="shared" si="0"/>
        <v>0</v>
      </c>
      <c r="H58" s="5">
        <f>_xlfn.XLOOKUP(A58,Planilha1!H:H,Planilha1!L:L)</f>
        <v>5.6000000000000001E-2</v>
      </c>
      <c r="I58">
        <f>_xlfn.XLOOKUP(A58,Planilha1!H:H,Planilha1!M:M)</f>
        <v>1.35</v>
      </c>
      <c r="J58" s="1">
        <f t="shared" si="2"/>
        <v>0</v>
      </c>
      <c r="K58" t="str">
        <f t="shared" si="3"/>
        <v>FDC_46200</v>
      </c>
    </row>
    <row r="59" spans="1:11" x14ac:dyDescent="0.25">
      <c r="A59" t="s">
        <v>20</v>
      </c>
      <c r="B59" s="3">
        <v>46201</v>
      </c>
      <c r="C59">
        <v>0</v>
      </c>
      <c r="D59" s="5">
        <f>_xlfn.XLOOKUP(A59,Planilha1!H:H,Planilha1!J:J)</f>
        <v>0.9</v>
      </c>
      <c r="E59" s="1">
        <f t="shared" si="1"/>
        <v>0</v>
      </c>
      <c r="F59">
        <f>_xlfn.XLOOKUP(A59,Planilha1!H:H,Planilha1!K:K)</f>
        <v>2</v>
      </c>
      <c r="G59" s="1">
        <f t="shared" si="0"/>
        <v>0</v>
      </c>
      <c r="H59" s="5">
        <f>_xlfn.XLOOKUP(A59,Planilha1!H:H,Planilha1!L:L)</f>
        <v>5.6000000000000001E-2</v>
      </c>
      <c r="I59">
        <f>_xlfn.XLOOKUP(A59,Planilha1!H:H,Planilha1!M:M)</f>
        <v>1.35</v>
      </c>
      <c r="J59" s="1">
        <f t="shared" si="2"/>
        <v>0</v>
      </c>
      <c r="K59" t="str">
        <f t="shared" si="3"/>
        <v>FDC_46201</v>
      </c>
    </row>
    <row r="60" spans="1:11" x14ac:dyDescent="0.25">
      <c r="A60" t="s">
        <v>20</v>
      </c>
      <c r="B60" s="3">
        <v>46202</v>
      </c>
      <c r="C60">
        <v>5</v>
      </c>
      <c r="D60" s="5">
        <f>_xlfn.XLOOKUP(A60,Planilha1!H:H,Planilha1!J:J)</f>
        <v>0.9</v>
      </c>
      <c r="E60" s="1">
        <f t="shared" si="1"/>
        <v>4.5</v>
      </c>
      <c r="F60">
        <f>_xlfn.XLOOKUP(A60,Planilha1!H:H,Planilha1!K:K)</f>
        <v>2</v>
      </c>
      <c r="G60" s="1">
        <f t="shared" si="0"/>
        <v>0.44444444444444442</v>
      </c>
      <c r="H60" s="5">
        <f>_xlfn.XLOOKUP(A60,Planilha1!H:H,Planilha1!L:L)</f>
        <v>5.6000000000000001E-2</v>
      </c>
      <c r="I60">
        <f>_xlfn.XLOOKUP(A60,Planilha1!H:H,Planilha1!M:M)</f>
        <v>1.35</v>
      </c>
      <c r="J60" s="1">
        <f t="shared" si="2"/>
        <v>108.48214285714288</v>
      </c>
      <c r="K60" t="str">
        <f t="shared" si="3"/>
        <v>FDC_46202</v>
      </c>
    </row>
    <row r="61" spans="1:11" x14ac:dyDescent="0.25">
      <c r="A61" t="s">
        <v>20</v>
      </c>
      <c r="B61" s="3">
        <v>46203</v>
      </c>
      <c r="C61">
        <v>5</v>
      </c>
      <c r="D61" s="5">
        <f>_xlfn.XLOOKUP(A61,Planilha1!H:H,Planilha1!J:J)</f>
        <v>0.9</v>
      </c>
      <c r="E61" s="1">
        <f t="shared" si="1"/>
        <v>4.5</v>
      </c>
      <c r="F61">
        <f>_xlfn.XLOOKUP(A61,Planilha1!H:H,Planilha1!K:K)</f>
        <v>2</v>
      </c>
      <c r="G61" s="1">
        <f t="shared" si="0"/>
        <v>0.44444444444444442</v>
      </c>
      <c r="H61" s="5">
        <f>_xlfn.XLOOKUP(A61,Planilha1!H:H,Planilha1!L:L)</f>
        <v>5.6000000000000001E-2</v>
      </c>
      <c r="I61">
        <f>_xlfn.XLOOKUP(A61,Planilha1!H:H,Planilha1!M:M)</f>
        <v>1.35</v>
      </c>
      <c r="J61" s="1">
        <f t="shared" si="2"/>
        <v>108.48214285714288</v>
      </c>
      <c r="K61" t="str">
        <f t="shared" si="3"/>
        <v>FDC_46203</v>
      </c>
    </row>
    <row r="62" spans="1:11" x14ac:dyDescent="0.25">
      <c r="A62" t="s">
        <v>5</v>
      </c>
      <c r="B62" s="3">
        <v>46174</v>
      </c>
      <c r="C62">
        <v>17</v>
      </c>
      <c r="D62" s="5">
        <f>_xlfn.XLOOKUP(A62,Planilha1!H:H,Planilha1!J:J)</f>
        <v>0.95</v>
      </c>
      <c r="E62" s="1">
        <f t="shared" si="1"/>
        <v>16.149999999999999</v>
      </c>
      <c r="F62">
        <f>_xlfn.XLOOKUP(A62,Planilha1!H:H,Planilha1!K:K)</f>
        <v>9</v>
      </c>
      <c r="G62" s="1">
        <f t="shared" si="0"/>
        <v>0.55727554179566563</v>
      </c>
      <c r="H62" s="5">
        <f>_xlfn.XLOOKUP(A62,Planilha1!H:H,Planilha1!L:L)</f>
        <v>7.0000000000000007E-2</v>
      </c>
      <c r="I62">
        <f>_xlfn.XLOOKUP(A62,Planilha1!H:H,Planilha1!M:M)</f>
        <v>1.33</v>
      </c>
      <c r="J62" s="1">
        <f t="shared" si="2"/>
        <v>306.84999999999997</v>
      </c>
      <c r="K62" t="str">
        <f t="shared" si="3"/>
        <v>Pós PUCCAMPINAS_46174</v>
      </c>
    </row>
    <row r="63" spans="1:11" x14ac:dyDescent="0.25">
      <c r="A63" t="s">
        <v>5</v>
      </c>
      <c r="B63" s="3">
        <v>46175</v>
      </c>
      <c r="C63">
        <v>17</v>
      </c>
      <c r="D63" s="5">
        <f>_xlfn.XLOOKUP(A63,Planilha1!H:H,Planilha1!J:J)</f>
        <v>0.95</v>
      </c>
      <c r="E63" s="1">
        <f t="shared" si="1"/>
        <v>16.149999999999999</v>
      </c>
      <c r="F63">
        <f>_xlfn.XLOOKUP(A63,Planilha1!H:H,Planilha1!K:K)</f>
        <v>9</v>
      </c>
      <c r="G63" s="1">
        <f t="shared" si="0"/>
        <v>0.55727554179566563</v>
      </c>
      <c r="H63" s="5">
        <f>_xlfn.XLOOKUP(A63,Planilha1!H:H,Planilha1!L:L)</f>
        <v>7.0000000000000007E-2</v>
      </c>
      <c r="I63">
        <f>_xlfn.XLOOKUP(A63,Planilha1!H:H,Planilha1!M:M)</f>
        <v>1.33</v>
      </c>
      <c r="J63" s="1">
        <f t="shared" si="2"/>
        <v>306.84999999999997</v>
      </c>
      <c r="K63" t="str">
        <f t="shared" si="3"/>
        <v>Pós PUCCAMPINAS_46175</v>
      </c>
    </row>
    <row r="64" spans="1:11" x14ac:dyDescent="0.25">
      <c r="A64" t="s">
        <v>5</v>
      </c>
      <c r="B64" s="3">
        <v>46176</v>
      </c>
      <c r="C64">
        <v>17</v>
      </c>
      <c r="D64" s="5">
        <f>_xlfn.XLOOKUP(A64,Planilha1!H:H,Planilha1!J:J)</f>
        <v>0.95</v>
      </c>
      <c r="E64" s="1">
        <f t="shared" si="1"/>
        <v>16.149999999999999</v>
      </c>
      <c r="F64">
        <f>_xlfn.XLOOKUP(A64,Planilha1!H:H,Planilha1!K:K)</f>
        <v>9</v>
      </c>
      <c r="G64" s="1">
        <f t="shared" si="0"/>
        <v>0.55727554179566563</v>
      </c>
      <c r="H64" s="5">
        <f>_xlfn.XLOOKUP(A64,Planilha1!H:H,Planilha1!L:L)</f>
        <v>7.0000000000000007E-2</v>
      </c>
      <c r="I64">
        <f>_xlfn.XLOOKUP(A64,Planilha1!H:H,Planilha1!M:M)</f>
        <v>1.33</v>
      </c>
      <c r="J64" s="1">
        <f t="shared" si="2"/>
        <v>306.84999999999997</v>
      </c>
      <c r="K64" t="str">
        <f t="shared" si="3"/>
        <v>Pós PUCCAMPINAS_46176</v>
      </c>
    </row>
    <row r="65" spans="1:11" x14ac:dyDescent="0.25">
      <c r="A65" t="s">
        <v>5</v>
      </c>
      <c r="B65" s="3">
        <v>46177</v>
      </c>
      <c r="C65">
        <v>0</v>
      </c>
      <c r="D65" s="5">
        <f>_xlfn.XLOOKUP(A65,Planilha1!H:H,Planilha1!J:J)</f>
        <v>0.95</v>
      </c>
      <c r="E65" s="1">
        <f t="shared" si="1"/>
        <v>0</v>
      </c>
      <c r="F65">
        <f>_xlfn.XLOOKUP(A65,Planilha1!H:H,Planilha1!K:K)</f>
        <v>9</v>
      </c>
      <c r="G65" s="1">
        <f t="shared" si="0"/>
        <v>0</v>
      </c>
      <c r="H65" s="5">
        <f>_xlfn.XLOOKUP(A65,Planilha1!H:H,Planilha1!L:L)</f>
        <v>7.0000000000000007E-2</v>
      </c>
      <c r="I65">
        <f>_xlfn.XLOOKUP(A65,Planilha1!H:H,Planilha1!M:M)</f>
        <v>1.33</v>
      </c>
      <c r="J65" s="1">
        <f t="shared" si="2"/>
        <v>0</v>
      </c>
      <c r="K65" t="str">
        <f t="shared" si="3"/>
        <v>Pós PUCCAMPINAS_46177</v>
      </c>
    </row>
    <row r="66" spans="1:11" x14ac:dyDescent="0.25">
      <c r="A66" t="s">
        <v>5</v>
      </c>
      <c r="B66" s="3">
        <v>46178</v>
      </c>
      <c r="C66">
        <v>6</v>
      </c>
      <c r="D66" s="5">
        <f>_xlfn.XLOOKUP(A66,Planilha1!H:H,Planilha1!J:J)</f>
        <v>0.95</v>
      </c>
      <c r="E66" s="1">
        <f t="shared" si="1"/>
        <v>5.6999999999999993</v>
      </c>
      <c r="F66">
        <f>_xlfn.XLOOKUP(A66,Planilha1!H:H,Planilha1!K:K)</f>
        <v>9</v>
      </c>
      <c r="G66" s="1">
        <f t="shared" ref="G66:G129" si="4">IFERROR(F66/E66,0)</f>
        <v>1.5789473684210529</v>
      </c>
      <c r="H66" s="5">
        <f>_xlfn.XLOOKUP(A66,Planilha1!H:H,Planilha1!L:L)</f>
        <v>7.0000000000000007E-2</v>
      </c>
      <c r="I66">
        <f>_xlfn.XLOOKUP(A66,Planilha1!H:H,Planilha1!M:M)</f>
        <v>1.33</v>
      </c>
      <c r="J66" s="1">
        <f t="shared" si="2"/>
        <v>108.29999999999998</v>
      </c>
      <c r="K66" t="str">
        <f t="shared" si="3"/>
        <v>Pós PUCCAMPINAS_46178</v>
      </c>
    </row>
    <row r="67" spans="1:11" x14ac:dyDescent="0.25">
      <c r="A67" t="s">
        <v>5</v>
      </c>
      <c r="B67" s="3">
        <v>46179</v>
      </c>
      <c r="C67">
        <v>3</v>
      </c>
      <c r="D67" s="5">
        <f>_xlfn.XLOOKUP(A67,Planilha1!H:H,Planilha1!J:J)</f>
        <v>0.95</v>
      </c>
      <c r="E67" s="1">
        <f t="shared" ref="E67:E130" si="5">C67*D67</f>
        <v>2.8499999999999996</v>
      </c>
      <c r="F67">
        <f>_xlfn.XLOOKUP(A67,Planilha1!H:H,Planilha1!K:K)</f>
        <v>9</v>
      </c>
      <c r="G67" s="1">
        <f t="shared" si="4"/>
        <v>3.1578947368421058</v>
      </c>
      <c r="H67" s="5">
        <f>_xlfn.XLOOKUP(A67,Planilha1!H:H,Planilha1!L:L)</f>
        <v>7.0000000000000007E-2</v>
      </c>
      <c r="I67">
        <f>_xlfn.XLOOKUP(A67,Planilha1!H:H,Planilha1!M:M)</f>
        <v>1.33</v>
      </c>
      <c r="J67" s="1">
        <f t="shared" ref="J67:J130" si="6">(E67/H67)*I67</f>
        <v>54.149999999999991</v>
      </c>
      <c r="K67" t="str">
        <f t="shared" ref="K67:K130" si="7">_xlfn.CONCAT(A67,"_",B67)</f>
        <v>Pós PUCCAMPINAS_46179</v>
      </c>
    </row>
    <row r="68" spans="1:11" x14ac:dyDescent="0.25">
      <c r="A68" t="s">
        <v>5</v>
      </c>
      <c r="B68" s="3">
        <v>46180</v>
      </c>
      <c r="C68">
        <v>0</v>
      </c>
      <c r="D68" s="5">
        <f>_xlfn.XLOOKUP(A68,Planilha1!H:H,Planilha1!J:J)</f>
        <v>0.95</v>
      </c>
      <c r="E68" s="1">
        <f t="shared" si="5"/>
        <v>0</v>
      </c>
      <c r="F68">
        <f>_xlfn.XLOOKUP(A68,Planilha1!H:H,Planilha1!K:K)</f>
        <v>9</v>
      </c>
      <c r="G68" s="1">
        <f t="shared" si="4"/>
        <v>0</v>
      </c>
      <c r="H68" s="5">
        <f>_xlfn.XLOOKUP(A68,Planilha1!H:H,Planilha1!L:L)</f>
        <v>7.0000000000000007E-2</v>
      </c>
      <c r="I68">
        <f>_xlfn.XLOOKUP(A68,Planilha1!H:H,Planilha1!M:M)</f>
        <v>1.33</v>
      </c>
      <c r="J68" s="1">
        <f t="shared" si="6"/>
        <v>0</v>
      </c>
      <c r="K68" t="str">
        <f t="shared" si="7"/>
        <v>Pós PUCCAMPINAS_46180</v>
      </c>
    </row>
    <row r="69" spans="1:11" x14ac:dyDescent="0.25">
      <c r="A69" t="s">
        <v>5</v>
      </c>
      <c r="B69" s="3">
        <v>46181</v>
      </c>
      <c r="C69">
        <v>28</v>
      </c>
      <c r="D69" s="5">
        <f>_xlfn.XLOOKUP(A69,Planilha1!H:H,Planilha1!J:J)</f>
        <v>0.95</v>
      </c>
      <c r="E69" s="1">
        <f t="shared" si="5"/>
        <v>26.599999999999998</v>
      </c>
      <c r="F69">
        <f>_xlfn.XLOOKUP(A69,Planilha1!H:H,Planilha1!K:K)</f>
        <v>9</v>
      </c>
      <c r="G69" s="1">
        <f t="shared" si="4"/>
        <v>0.33834586466165417</v>
      </c>
      <c r="H69" s="5">
        <f>_xlfn.XLOOKUP(A69,Planilha1!H:H,Planilha1!L:L)</f>
        <v>7.0000000000000007E-2</v>
      </c>
      <c r="I69">
        <f>_xlfn.XLOOKUP(A69,Planilha1!H:H,Planilha1!M:M)</f>
        <v>1.33</v>
      </c>
      <c r="J69" s="1">
        <f t="shared" si="6"/>
        <v>505.4</v>
      </c>
      <c r="K69" t="str">
        <f t="shared" si="7"/>
        <v>Pós PUCCAMPINAS_46181</v>
      </c>
    </row>
    <row r="70" spans="1:11" x14ac:dyDescent="0.25">
      <c r="A70" t="s">
        <v>5</v>
      </c>
      <c r="B70" s="3">
        <v>46182</v>
      </c>
      <c r="C70">
        <v>28</v>
      </c>
      <c r="D70" s="5">
        <f>_xlfn.XLOOKUP(A70,Planilha1!H:H,Planilha1!J:J)</f>
        <v>0.95</v>
      </c>
      <c r="E70" s="1">
        <f t="shared" si="5"/>
        <v>26.599999999999998</v>
      </c>
      <c r="F70">
        <f>_xlfn.XLOOKUP(A70,Planilha1!H:H,Planilha1!K:K)</f>
        <v>9</v>
      </c>
      <c r="G70" s="1">
        <f t="shared" si="4"/>
        <v>0.33834586466165417</v>
      </c>
      <c r="H70" s="5">
        <f>_xlfn.XLOOKUP(A70,Planilha1!H:H,Planilha1!L:L)</f>
        <v>7.0000000000000007E-2</v>
      </c>
      <c r="I70">
        <f>_xlfn.XLOOKUP(A70,Planilha1!H:H,Planilha1!M:M)</f>
        <v>1.33</v>
      </c>
      <c r="J70" s="1">
        <f t="shared" si="6"/>
        <v>505.4</v>
      </c>
      <c r="K70" t="str">
        <f t="shared" si="7"/>
        <v>Pós PUCCAMPINAS_46182</v>
      </c>
    </row>
    <row r="71" spans="1:11" x14ac:dyDescent="0.25">
      <c r="A71" t="s">
        <v>5</v>
      </c>
      <c r="B71" s="3">
        <v>46183</v>
      </c>
      <c r="C71">
        <v>25</v>
      </c>
      <c r="D71" s="5">
        <f>_xlfn.XLOOKUP(A71,Planilha1!H:H,Planilha1!J:J)</f>
        <v>0.95</v>
      </c>
      <c r="E71" s="1">
        <f t="shared" si="5"/>
        <v>23.75</v>
      </c>
      <c r="F71">
        <f>_xlfn.XLOOKUP(A71,Planilha1!H:H,Planilha1!K:K)</f>
        <v>9</v>
      </c>
      <c r="G71" s="1">
        <f t="shared" si="4"/>
        <v>0.37894736842105264</v>
      </c>
      <c r="H71" s="5">
        <f>_xlfn.XLOOKUP(A71,Planilha1!H:H,Planilha1!L:L)</f>
        <v>7.0000000000000007E-2</v>
      </c>
      <c r="I71">
        <f>_xlfn.XLOOKUP(A71,Planilha1!H:H,Planilha1!M:M)</f>
        <v>1.33</v>
      </c>
      <c r="J71" s="1">
        <f t="shared" si="6"/>
        <v>451.25</v>
      </c>
      <c r="K71" t="str">
        <f t="shared" si="7"/>
        <v>Pós PUCCAMPINAS_46183</v>
      </c>
    </row>
    <row r="72" spans="1:11" x14ac:dyDescent="0.25">
      <c r="A72" t="s">
        <v>5</v>
      </c>
      <c r="B72" s="3">
        <v>46184</v>
      </c>
      <c r="C72">
        <v>25</v>
      </c>
      <c r="D72" s="5">
        <f>_xlfn.XLOOKUP(A72,Planilha1!H:H,Planilha1!J:J)</f>
        <v>0.95</v>
      </c>
      <c r="E72" s="1">
        <f t="shared" si="5"/>
        <v>23.75</v>
      </c>
      <c r="F72">
        <f>_xlfn.XLOOKUP(A72,Planilha1!H:H,Planilha1!K:K)</f>
        <v>9</v>
      </c>
      <c r="G72" s="1">
        <f t="shared" si="4"/>
        <v>0.37894736842105264</v>
      </c>
      <c r="H72" s="5">
        <f>_xlfn.XLOOKUP(A72,Planilha1!H:H,Planilha1!L:L)</f>
        <v>7.0000000000000007E-2</v>
      </c>
      <c r="I72">
        <f>_xlfn.XLOOKUP(A72,Planilha1!H:H,Planilha1!M:M)</f>
        <v>1.33</v>
      </c>
      <c r="J72" s="1">
        <f t="shared" si="6"/>
        <v>451.25</v>
      </c>
      <c r="K72" t="str">
        <f t="shared" si="7"/>
        <v>Pós PUCCAMPINAS_46184</v>
      </c>
    </row>
    <row r="73" spans="1:11" x14ac:dyDescent="0.25">
      <c r="A73" t="s">
        <v>5</v>
      </c>
      <c r="B73" s="3">
        <v>46185</v>
      </c>
      <c r="C73">
        <v>20</v>
      </c>
      <c r="D73" s="5">
        <f>_xlfn.XLOOKUP(A73,Planilha1!H:H,Planilha1!J:J)</f>
        <v>0.95</v>
      </c>
      <c r="E73" s="1">
        <f t="shared" si="5"/>
        <v>19</v>
      </c>
      <c r="F73">
        <f>_xlfn.XLOOKUP(A73,Planilha1!H:H,Planilha1!K:K)</f>
        <v>9</v>
      </c>
      <c r="G73" s="1">
        <f t="shared" si="4"/>
        <v>0.47368421052631576</v>
      </c>
      <c r="H73" s="5">
        <f>_xlfn.XLOOKUP(A73,Planilha1!H:H,Planilha1!L:L)</f>
        <v>7.0000000000000007E-2</v>
      </c>
      <c r="I73">
        <f>_xlfn.XLOOKUP(A73,Planilha1!H:H,Planilha1!M:M)</f>
        <v>1.33</v>
      </c>
      <c r="J73" s="1">
        <f t="shared" si="6"/>
        <v>360.99999999999994</v>
      </c>
      <c r="K73" t="str">
        <f t="shared" si="7"/>
        <v>Pós PUCCAMPINAS_46185</v>
      </c>
    </row>
    <row r="74" spans="1:11" x14ac:dyDescent="0.25">
      <c r="A74" t="s">
        <v>5</v>
      </c>
      <c r="B74" s="3">
        <v>46186</v>
      </c>
      <c r="C74">
        <v>0</v>
      </c>
      <c r="D74" s="5">
        <f>_xlfn.XLOOKUP(A74,Planilha1!H:H,Planilha1!J:J)</f>
        <v>0.95</v>
      </c>
      <c r="E74" s="1">
        <f t="shared" si="5"/>
        <v>0</v>
      </c>
      <c r="F74">
        <f>_xlfn.XLOOKUP(A74,Planilha1!H:H,Planilha1!K:K)</f>
        <v>9</v>
      </c>
      <c r="G74" s="1">
        <f t="shared" si="4"/>
        <v>0</v>
      </c>
      <c r="H74" s="5">
        <f>_xlfn.XLOOKUP(A74,Planilha1!H:H,Planilha1!L:L)</f>
        <v>7.0000000000000007E-2</v>
      </c>
      <c r="I74">
        <f>_xlfn.XLOOKUP(A74,Planilha1!H:H,Planilha1!M:M)</f>
        <v>1.33</v>
      </c>
      <c r="J74" s="1">
        <f t="shared" si="6"/>
        <v>0</v>
      </c>
      <c r="K74" t="str">
        <f t="shared" si="7"/>
        <v>Pós PUCCAMPINAS_46186</v>
      </c>
    </row>
    <row r="75" spans="1:11" x14ac:dyDescent="0.25">
      <c r="A75" t="s">
        <v>5</v>
      </c>
      <c r="B75" s="3">
        <v>46187</v>
      </c>
      <c r="C75">
        <v>0</v>
      </c>
      <c r="D75" s="5">
        <f>_xlfn.XLOOKUP(A75,Planilha1!H:H,Planilha1!J:J)</f>
        <v>0.95</v>
      </c>
      <c r="E75" s="1">
        <f t="shared" si="5"/>
        <v>0</v>
      </c>
      <c r="F75">
        <f>_xlfn.XLOOKUP(A75,Planilha1!H:H,Planilha1!K:K)</f>
        <v>9</v>
      </c>
      <c r="G75" s="1">
        <f t="shared" si="4"/>
        <v>0</v>
      </c>
      <c r="H75" s="5">
        <f>_xlfn.XLOOKUP(A75,Planilha1!H:H,Planilha1!L:L)</f>
        <v>7.0000000000000007E-2</v>
      </c>
      <c r="I75">
        <f>_xlfn.XLOOKUP(A75,Planilha1!H:H,Planilha1!M:M)</f>
        <v>1.33</v>
      </c>
      <c r="J75" s="1">
        <f t="shared" si="6"/>
        <v>0</v>
      </c>
      <c r="K75" t="str">
        <f t="shared" si="7"/>
        <v>Pós PUCCAMPINAS_46187</v>
      </c>
    </row>
    <row r="76" spans="1:11" x14ac:dyDescent="0.25">
      <c r="A76" t="s">
        <v>5</v>
      </c>
      <c r="B76" s="3">
        <v>46188</v>
      </c>
      <c r="C76">
        <v>20</v>
      </c>
      <c r="D76" s="5">
        <f>_xlfn.XLOOKUP(A76,Planilha1!H:H,Planilha1!J:J)</f>
        <v>0.95</v>
      </c>
      <c r="E76" s="1">
        <f t="shared" si="5"/>
        <v>19</v>
      </c>
      <c r="F76">
        <f>_xlfn.XLOOKUP(A76,Planilha1!H:H,Planilha1!K:K)</f>
        <v>9</v>
      </c>
      <c r="G76" s="1">
        <f t="shared" si="4"/>
        <v>0.47368421052631576</v>
      </c>
      <c r="H76" s="5">
        <f>_xlfn.XLOOKUP(A76,Planilha1!H:H,Planilha1!L:L)</f>
        <v>7.0000000000000007E-2</v>
      </c>
      <c r="I76">
        <f>_xlfn.XLOOKUP(A76,Planilha1!H:H,Planilha1!M:M)</f>
        <v>1.33</v>
      </c>
      <c r="J76" s="1">
        <f t="shared" si="6"/>
        <v>360.99999999999994</v>
      </c>
      <c r="K76" t="str">
        <f t="shared" si="7"/>
        <v>Pós PUCCAMPINAS_46188</v>
      </c>
    </row>
    <row r="77" spans="1:11" x14ac:dyDescent="0.25">
      <c r="A77" t="s">
        <v>5</v>
      </c>
      <c r="B77" s="3">
        <v>46189</v>
      </c>
      <c r="C77">
        <v>20</v>
      </c>
      <c r="D77" s="5">
        <f>_xlfn.XLOOKUP(A77,Planilha1!H:H,Planilha1!J:J)</f>
        <v>0.95</v>
      </c>
      <c r="E77" s="1">
        <f t="shared" si="5"/>
        <v>19</v>
      </c>
      <c r="F77">
        <f>_xlfn.XLOOKUP(A77,Planilha1!H:H,Planilha1!K:K)</f>
        <v>9</v>
      </c>
      <c r="G77" s="1">
        <f t="shared" si="4"/>
        <v>0.47368421052631576</v>
      </c>
      <c r="H77" s="5">
        <f>_xlfn.XLOOKUP(A77,Planilha1!H:H,Planilha1!L:L)</f>
        <v>7.0000000000000007E-2</v>
      </c>
      <c r="I77">
        <f>_xlfn.XLOOKUP(A77,Planilha1!H:H,Planilha1!M:M)</f>
        <v>1.33</v>
      </c>
      <c r="J77" s="1">
        <f t="shared" si="6"/>
        <v>360.99999999999994</v>
      </c>
      <c r="K77" t="str">
        <f t="shared" si="7"/>
        <v>Pós PUCCAMPINAS_46189</v>
      </c>
    </row>
    <row r="78" spans="1:11" x14ac:dyDescent="0.25">
      <c r="A78" t="s">
        <v>5</v>
      </c>
      <c r="B78" s="3">
        <v>46190</v>
      </c>
      <c r="C78">
        <v>20</v>
      </c>
      <c r="D78" s="5">
        <f>_xlfn.XLOOKUP(A78,Planilha1!H:H,Planilha1!J:J)</f>
        <v>0.95</v>
      </c>
      <c r="E78" s="1">
        <f t="shared" si="5"/>
        <v>19</v>
      </c>
      <c r="F78">
        <f>_xlfn.XLOOKUP(A78,Planilha1!H:H,Planilha1!K:K)</f>
        <v>9</v>
      </c>
      <c r="G78" s="1">
        <f t="shared" si="4"/>
        <v>0.47368421052631576</v>
      </c>
      <c r="H78" s="5">
        <f>_xlfn.XLOOKUP(A78,Planilha1!H:H,Planilha1!L:L)</f>
        <v>7.0000000000000007E-2</v>
      </c>
      <c r="I78">
        <f>_xlfn.XLOOKUP(A78,Planilha1!H:H,Planilha1!M:M)</f>
        <v>1.33</v>
      </c>
      <c r="J78" s="1">
        <f t="shared" si="6"/>
        <v>360.99999999999994</v>
      </c>
      <c r="K78" t="str">
        <f t="shared" si="7"/>
        <v>Pós PUCCAMPINAS_46190</v>
      </c>
    </row>
    <row r="79" spans="1:11" x14ac:dyDescent="0.25">
      <c r="A79" t="s">
        <v>5</v>
      </c>
      <c r="B79" s="3">
        <v>46191</v>
      </c>
      <c r="C79">
        <v>20</v>
      </c>
      <c r="D79" s="5">
        <f>_xlfn.XLOOKUP(A79,Planilha1!H:H,Planilha1!J:J)</f>
        <v>0.95</v>
      </c>
      <c r="E79" s="1">
        <f t="shared" si="5"/>
        <v>19</v>
      </c>
      <c r="F79">
        <f>_xlfn.XLOOKUP(A79,Planilha1!H:H,Planilha1!K:K)</f>
        <v>9</v>
      </c>
      <c r="G79" s="1">
        <f t="shared" si="4"/>
        <v>0.47368421052631576</v>
      </c>
      <c r="H79" s="5">
        <f>_xlfn.XLOOKUP(A79,Planilha1!H:H,Planilha1!L:L)</f>
        <v>7.0000000000000007E-2</v>
      </c>
      <c r="I79">
        <f>_xlfn.XLOOKUP(A79,Planilha1!H:H,Planilha1!M:M)</f>
        <v>1.33</v>
      </c>
      <c r="J79" s="1">
        <f t="shared" si="6"/>
        <v>360.99999999999994</v>
      </c>
      <c r="K79" t="str">
        <f t="shared" si="7"/>
        <v>Pós PUCCAMPINAS_46191</v>
      </c>
    </row>
    <row r="80" spans="1:11" x14ac:dyDescent="0.25">
      <c r="A80" t="s">
        <v>5</v>
      </c>
      <c r="B80" s="3">
        <v>46192</v>
      </c>
      <c r="C80">
        <v>20</v>
      </c>
      <c r="D80" s="5">
        <f>_xlfn.XLOOKUP(A80,Planilha1!H:H,Planilha1!J:J)</f>
        <v>0.95</v>
      </c>
      <c r="E80" s="1">
        <f t="shared" si="5"/>
        <v>19</v>
      </c>
      <c r="F80">
        <f>_xlfn.XLOOKUP(A80,Planilha1!H:H,Planilha1!K:K)</f>
        <v>9</v>
      </c>
      <c r="G80" s="1">
        <f t="shared" si="4"/>
        <v>0.47368421052631576</v>
      </c>
      <c r="H80" s="5">
        <f>_xlfn.XLOOKUP(A80,Planilha1!H:H,Planilha1!L:L)</f>
        <v>7.0000000000000007E-2</v>
      </c>
      <c r="I80">
        <f>_xlfn.XLOOKUP(A80,Planilha1!H:H,Planilha1!M:M)</f>
        <v>1.33</v>
      </c>
      <c r="J80" s="1">
        <f t="shared" si="6"/>
        <v>360.99999999999994</v>
      </c>
      <c r="K80" t="str">
        <f t="shared" si="7"/>
        <v>Pós PUCCAMPINAS_46192</v>
      </c>
    </row>
    <row r="81" spans="1:11" x14ac:dyDescent="0.25">
      <c r="A81" t="s">
        <v>5</v>
      </c>
      <c r="B81" s="3">
        <v>46193</v>
      </c>
      <c r="C81">
        <v>0</v>
      </c>
      <c r="D81" s="5">
        <f>_xlfn.XLOOKUP(A81,Planilha1!H:H,Planilha1!J:J)</f>
        <v>0.95</v>
      </c>
      <c r="E81" s="1">
        <f t="shared" si="5"/>
        <v>0</v>
      </c>
      <c r="F81">
        <f>_xlfn.XLOOKUP(A81,Planilha1!H:H,Planilha1!K:K)</f>
        <v>9</v>
      </c>
      <c r="G81" s="1">
        <f t="shared" si="4"/>
        <v>0</v>
      </c>
      <c r="H81" s="5">
        <f>_xlfn.XLOOKUP(A81,Planilha1!H:H,Planilha1!L:L)</f>
        <v>7.0000000000000007E-2</v>
      </c>
      <c r="I81">
        <f>_xlfn.XLOOKUP(A81,Planilha1!H:H,Planilha1!M:M)</f>
        <v>1.33</v>
      </c>
      <c r="J81" s="1">
        <f t="shared" si="6"/>
        <v>0</v>
      </c>
      <c r="K81" t="str">
        <f t="shared" si="7"/>
        <v>Pós PUCCAMPINAS_46193</v>
      </c>
    </row>
    <row r="82" spans="1:11" x14ac:dyDescent="0.25">
      <c r="A82" t="s">
        <v>5</v>
      </c>
      <c r="B82" s="3">
        <v>46194</v>
      </c>
      <c r="C82">
        <v>0</v>
      </c>
      <c r="D82" s="5">
        <f>_xlfn.XLOOKUP(A82,Planilha1!H:H,Planilha1!J:J)</f>
        <v>0.95</v>
      </c>
      <c r="E82" s="1">
        <f t="shared" si="5"/>
        <v>0</v>
      </c>
      <c r="F82">
        <f>_xlfn.XLOOKUP(A82,Planilha1!H:H,Planilha1!K:K)</f>
        <v>9</v>
      </c>
      <c r="G82" s="1">
        <f t="shared" si="4"/>
        <v>0</v>
      </c>
      <c r="H82" s="5">
        <f>_xlfn.XLOOKUP(A82,Planilha1!H:H,Planilha1!L:L)</f>
        <v>7.0000000000000007E-2</v>
      </c>
      <c r="I82">
        <f>_xlfn.XLOOKUP(A82,Planilha1!H:H,Planilha1!M:M)</f>
        <v>1.33</v>
      </c>
      <c r="J82" s="1">
        <f t="shared" si="6"/>
        <v>0</v>
      </c>
      <c r="K82" t="str">
        <f t="shared" si="7"/>
        <v>Pós PUCCAMPINAS_46194</v>
      </c>
    </row>
    <row r="83" spans="1:11" x14ac:dyDescent="0.25">
      <c r="A83" t="s">
        <v>5</v>
      </c>
      <c r="B83" s="3">
        <v>46195</v>
      </c>
      <c r="C83">
        <v>22</v>
      </c>
      <c r="D83" s="5">
        <f>_xlfn.XLOOKUP(A83,Planilha1!H:H,Planilha1!J:J)</f>
        <v>0.95</v>
      </c>
      <c r="E83" s="1">
        <f t="shared" si="5"/>
        <v>20.9</v>
      </c>
      <c r="F83">
        <f>_xlfn.XLOOKUP(A83,Planilha1!H:H,Planilha1!K:K)</f>
        <v>9</v>
      </c>
      <c r="G83" s="1">
        <f t="shared" si="4"/>
        <v>0.43062200956937802</v>
      </c>
      <c r="H83" s="5">
        <f>_xlfn.XLOOKUP(A83,Planilha1!H:H,Planilha1!L:L)</f>
        <v>7.0000000000000007E-2</v>
      </c>
      <c r="I83">
        <f>_xlfn.XLOOKUP(A83,Planilha1!H:H,Planilha1!M:M)</f>
        <v>1.33</v>
      </c>
      <c r="J83" s="1">
        <f t="shared" si="6"/>
        <v>397.09999999999991</v>
      </c>
      <c r="K83" t="str">
        <f t="shared" si="7"/>
        <v>Pós PUCCAMPINAS_46195</v>
      </c>
    </row>
    <row r="84" spans="1:11" x14ac:dyDescent="0.25">
      <c r="A84" t="s">
        <v>5</v>
      </c>
      <c r="B84" s="3">
        <v>46196</v>
      </c>
      <c r="C84">
        <v>22</v>
      </c>
      <c r="D84" s="5">
        <f>_xlfn.XLOOKUP(A84,Planilha1!H:H,Planilha1!J:J)</f>
        <v>0.95</v>
      </c>
      <c r="E84" s="1">
        <f t="shared" si="5"/>
        <v>20.9</v>
      </c>
      <c r="F84">
        <f>_xlfn.XLOOKUP(A84,Planilha1!H:H,Planilha1!K:K)</f>
        <v>9</v>
      </c>
      <c r="G84" s="1">
        <f t="shared" si="4"/>
        <v>0.43062200956937802</v>
      </c>
      <c r="H84" s="5">
        <f>_xlfn.XLOOKUP(A84,Planilha1!H:H,Planilha1!L:L)</f>
        <v>7.0000000000000007E-2</v>
      </c>
      <c r="I84">
        <f>_xlfn.XLOOKUP(A84,Planilha1!H:H,Planilha1!M:M)</f>
        <v>1.33</v>
      </c>
      <c r="J84" s="1">
        <f t="shared" si="6"/>
        <v>397.09999999999991</v>
      </c>
      <c r="K84" t="str">
        <f t="shared" si="7"/>
        <v>Pós PUCCAMPINAS_46196</v>
      </c>
    </row>
    <row r="85" spans="1:11" x14ac:dyDescent="0.25">
      <c r="A85" t="s">
        <v>5</v>
      </c>
      <c r="B85" s="3">
        <v>46197</v>
      </c>
      <c r="C85">
        <v>16</v>
      </c>
      <c r="D85" s="5">
        <f>_xlfn.XLOOKUP(A85,Planilha1!H:H,Planilha1!J:J)</f>
        <v>0.95</v>
      </c>
      <c r="E85" s="1">
        <f t="shared" si="5"/>
        <v>15.2</v>
      </c>
      <c r="F85">
        <f>_xlfn.XLOOKUP(A85,Planilha1!H:H,Planilha1!K:K)</f>
        <v>9</v>
      </c>
      <c r="G85" s="1">
        <f t="shared" si="4"/>
        <v>0.5921052631578948</v>
      </c>
      <c r="H85" s="5">
        <f>_xlfn.XLOOKUP(A85,Planilha1!H:H,Planilha1!L:L)</f>
        <v>7.0000000000000007E-2</v>
      </c>
      <c r="I85">
        <f>_xlfn.XLOOKUP(A85,Planilha1!H:H,Planilha1!M:M)</f>
        <v>1.33</v>
      </c>
      <c r="J85" s="1">
        <f t="shared" si="6"/>
        <v>288.79999999999995</v>
      </c>
      <c r="K85" t="str">
        <f t="shared" si="7"/>
        <v>Pós PUCCAMPINAS_46197</v>
      </c>
    </row>
    <row r="86" spans="1:11" x14ac:dyDescent="0.25">
      <c r="A86" t="s">
        <v>5</v>
      </c>
      <c r="B86" s="3">
        <v>46198</v>
      </c>
      <c r="C86">
        <v>24</v>
      </c>
      <c r="D86" s="5">
        <f>_xlfn.XLOOKUP(A86,Planilha1!H:H,Planilha1!J:J)</f>
        <v>0.95</v>
      </c>
      <c r="E86" s="1">
        <f t="shared" si="5"/>
        <v>22.799999999999997</v>
      </c>
      <c r="F86">
        <f>_xlfn.XLOOKUP(A86,Planilha1!H:H,Planilha1!K:K)</f>
        <v>9</v>
      </c>
      <c r="G86" s="1">
        <f t="shared" si="4"/>
        <v>0.39473684210526322</v>
      </c>
      <c r="H86" s="5">
        <f>_xlfn.XLOOKUP(A86,Planilha1!H:H,Planilha1!L:L)</f>
        <v>7.0000000000000007E-2</v>
      </c>
      <c r="I86">
        <f>_xlfn.XLOOKUP(A86,Planilha1!H:H,Planilha1!M:M)</f>
        <v>1.33</v>
      </c>
      <c r="J86" s="1">
        <f t="shared" si="6"/>
        <v>433.19999999999993</v>
      </c>
      <c r="K86" t="str">
        <f t="shared" si="7"/>
        <v>Pós PUCCAMPINAS_46198</v>
      </c>
    </row>
    <row r="87" spans="1:11" x14ac:dyDescent="0.25">
      <c r="A87" t="s">
        <v>5</v>
      </c>
      <c r="B87" s="3">
        <v>46199</v>
      </c>
      <c r="C87">
        <v>22</v>
      </c>
      <c r="D87" s="5">
        <f>_xlfn.XLOOKUP(A87,Planilha1!H:H,Planilha1!J:J)</f>
        <v>0.95</v>
      </c>
      <c r="E87" s="1">
        <f t="shared" si="5"/>
        <v>20.9</v>
      </c>
      <c r="F87">
        <f>_xlfn.XLOOKUP(A87,Planilha1!H:H,Planilha1!K:K)</f>
        <v>9</v>
      </c>
      <c r="G87" s="1">
        <f t="shared" si="4"/>
        <v>0.43062200956937802</v>
      </c>
      <c r="H87" s="5">
        <f>_xlfn.XLOOKUP(A87,Planilha1!H:H,Planilha1!L:L)</f>
        <v>7.0000000000000007E-2</v>
      </c>
      <c r="I87">
        <f>_xlfn.XLOOKUP(A87,Planilha1!H:H,Planilha1!M:M)</f>
        <v>1.33</v>
      </c>
      <c r="J87" s="1">
        <f t="shared" si="6"/>
        <v>397.09999999999991</v>
      </c>
      <c r="K87" t="str">
        <f t="shared" si="7"/>
        <v>Pós PUCCAMPINAS_46199</v>
      </c>
    </row>
    <row r="88" spans="1:11" x14ac:dyDescent="0.25">
      <c r="A88" t="s">
        <v>5</v>
      </c>
      <c r="B88" s="3">
        <v>46200</v>
      </c>
      <c r="C88">
        <v>3</v>
      </c>
      <c r="D88" s="5">
        <f>_xlfn.XLOOKUP(A88,Planilha1!H:H,Planilha1!J:J)</f>
        <v>0.95</v>
      </c>
      <c r="E88" s="1">
        <f t="shared" si="5"/>
        <v>2.8499999999999996</v>
      </c>
      <c r="F88">
        <f>_xlfn.XLOOKUP(A88,Planilha1!H:H,Planilha1!K:K)</f>
        <v>9</v>
      </c>
      <c r="G88" s="1">
        <f t="shared" si="4"/>
        <v>3.1578947368421058</v>
      </c>
      <c r="H88" s="5">
        <f>_xlfn.XLOOKUP(A88,Planilha1!H:H,Planilha1!L:L)</f>
        <v>7.0000000000000007E-2</v>
      </c>
      <c r="I88">
        <f>_xlfn.XLOOKUP(A88,Planilha1!H:H,Planilha1!M:M)</f>
        <v>1.33</v>
      </c>
      <c r="J88" s="1">
        <f t="shared" si="6"/>
        <v>54.149999999999991</v>
      </c>
      <c r="K88" t="str">
        <f t="shared" si="7"/>
        <v>Pós PUCCAMPINAS_46200</v>
      </c>
    </row>
    <row r="89" spans="1:11" x14ac:dyDescent="0.25">
      <c r="A89" t="s">
        <v>5</v>
      </c>
      <c r="B89" s="3">
        <v>46201</v>
      </c>
      <c r="C89">
        <v>0</v>
      </c>
      <c r="D89" s="5">
        <f>_xlfn.XLOOKUP(A89,Planilha1!H:H,Planilha1!J:J)</f>
        <v>0.95</v>
      </c>
      <c r="E89" s="1">
        <f t="shared" si="5"/>
        <v>0</v>
      </c>
      <c r="F89">
        <f>_xlfn.XLOOKUP(A89,Planilha1!H:H,Planilha1!K:K)</f>
        <v>9</v>
      </c>
      <c r="G89" s="1">
        <f t="shared" si="4"/>
        <v>0</v>
      </c>
      <c r="H89" s="5">
        <f>_xlfn.XLOOKUP(A89,Planilha1!H:H,Planilha1!L:L)</f>
        <v>7.0000000000000007E-2</v>
      </c>
      <c r="I89">
        <f>_xlfn.XLOOKUP(A89,Planilha1!H:H,Planilha1!M:M)</f>
        <v>1.33</v>
      </c>
      <c r="J89" s="1">
        <f t="shared" si="6"/>
        <v>0</v>
      </c>
      <c r="K89" t="str">
        <f t="shared" si="7"/>
        <v>Pós PUCCAMPINAS_46201</v>
      </c>
    </row>
    <row r="90" spans="1:11" x14ac:dyDescent="0.25">
      <c r="A90" t="s">
        <v>5</v>
      </c>
      <c r="B90" s="3">
        <v>46202</v>
      </c>
      <c r="C90">
        <v>19</v>
      </c>
      <c r="D90" s="5">
        <f>_xlfn.XLOOKUP(A90,Planilha1!H:H,Planilha1!J:J)</f>
        <v>0.95</v>
      </c>
      <c r="E90" s="1">
        <f t="shared" si="5"/>
        <v>18.05</v>
      </c>
      <c r="F90">
        <f>_xlfn.XLOOKUP(A90,Planilha1!H:H,Planilha1!K:K)</f>
        <v>9</v>
      </c>
      <c r="G90" s="1">
        <f t="shared" si="4"/>
        <v>0.49861495844875342</v>
      </c>
      <c r="H90" s="5">
        <f>_xlfn.XLOOKUP(A90,Planilha1!H:H,Planilha1!L:L)</f>
        <v>7.0000000000000007E-2</v>
      </c>
      <c r="I90">
        <f>_xlfn.XLOOKUP(A90,Planilha1!H:H,Planilha1!M:M)</f>
        <v>1.33</v>
      </c>
      <c r="J90" s="1">
        <f t="shared" si="6"/>
        <v>342.95</v>
      </c>
      <c r="K90" t="str">
        <f t="shared" si="7"/>
        <v>Pós PUCCAMPINAS_46202</v>
      </c>
    </row>
    <row r="91" spans="1:11" x14ac:dyDescent="0.25">
      <c r="A91" t="s">
        <v>5</v>
      </c>
      <c r="B91" s="3">
        <v>46203</v>
      </c>
      <c r="C91">
        <v>20</v>
      </c>
      <c r="D91" s="5">
        <f>_xlfn.XLOOKUP(A91,Planilha1!H:H,Planilha1!J:J)</f>
        <v>0.95</v>
      </c>
      <c r="E91" s="1">
        <f t="shared" si="5"/>
        <v>19</v>
      </c>
      <c r="F91">
        <f>_xlfn.XLOOKUP(A91,Planilha1!H:H,Planilha1!K:K)</f>
        <v>9</v>
      </c>
      <c r="G91" s="1">
        <f t="shared" si="4"/>
        <v>0.47368421052631576</v>
      </c>
      <c r="H91" s="5">
        <f>_xlfn.XLOOKUP(A91,Planilha1!H:H,Planilha1!L:L)</f>
        <v>7.0000000000000007E-2</v>
      </c>
      <c r="I91">
        <f>_xlfn.XLOOKUP(A91,Planilha1!H:H,Planilha1!M:M)</f>
        <v>1.33</v>
      </c>
      <c r="J91" s="1">
        <f t="shared" si="6"/>
        <v>360.99999999999994</v>
      </c>
      <c r="K91" t="str">
        <f t="shared" si="7"/>
        <v>Pós PUCCAMPINAS_46203</v>
      </c>
    </row>
    <row r="92" spans="1:11" x14ac:dyDescent="0.25">
      <c r="A92" t="s">
        <v>4</v>
      </c>
      <c r="B92" s="3">
        <v>46174</v>
      </c>
      <c r="C92">
        <v>6</v>
      </c>
      <c r="D92" s="5">
        <f>_xlfn.XLOOKUP(A92,Planilha1!H:H,Planilha1!J:J)</f>
        <v>0.8</v>
      </c>
      <c r="E92" s="1">
        <f t="shared" si="5"/>
        <v>4.8000000000000007</v>
      </c>
      <c r="F92">
        <f>_xlfn.XLOOKUP(A92,Planilha1!H:H,Planilha1!K:K)</f>
        <v>3</v>
      </c>
      <c r="G92" s="1">
        <f t="shared" si="4"/>
        <v>0.62499999999999989</v>
      </c>
      <c r="H92" s="5">
        <f>_xlfn.XLOOKUP(A92,Planilha1!H:H,Planilha1!L:L)</f>
        <v>5.1999999999999998E-2</v>
      </c>
      <c r="I92">
        <f>_xlfn.XLOOKUP(A92,Planilha1!H:H,Planilha1!M:M)</f>
        <v>1.31</v>
      </c>
      <c r="J92" s="1">
        <f t="shared" si="6"/>
        <v>120.92307692307695</v>
      </c>
      <c r="K92" t="str">
        <f t="shared" si="7"/>
        <v>Pós PUCRJ_46174</v>
      </c>
    </row>
    <row r="93" spans="1:11" x14ac:dyDescent="0.25">
      <c r="A93" t="s">
        <v>4</v>
      </c>
      <c r="B93" s="3">
        <v>46175</v>
      </c>
      <c r="C93">
        <v>6</v>
      </c>
      <c r="D93" s="5">
        <f>_xlfn.XLOOKUP(A93,Planilha1!H:H,Planilha1!J:J)</f>
        <v>0.8</v>
      </c>
      <c r="E93" s="1">
        <f t="shared" si="5"/>
        <v>4.8000000000000007</v>
      </c>
      <c r="F93">
        <f>_xlfn.XLOOKUP(A93,Planilha1!H:H,Planilha1!K:K)</f>
        <v>3</v>
      </c>
      <c r="G93" s="1">
        <f t="shared" si="4"/>
        <v>0.62499999999999989</v>
      </c>
      <c r="H93" s="5">
        <f>_xlfn.XLOOKUP(A93,Planilha1!H:H,Planilha1!L:L)</f>
        <v>5.1999999999999998E-2</v>
      </c>
      <c r="I93">
        <f>_xlfn.XLOOKUP(A93,Planilha1!H:H,Planilha1!M:M)</f>
        <v>1.31</v>
      </c>
      <c r="J93" s="1">
        <f t="shared" si="6"/>
        <v>120.92307692307695</v>
      </c>
      <c r="K93" t="str">
        <f t="shared" si="7"/>
        <v>Pós PUCRJ_46175</v>
      </c>
    </row>
    <row r="94" spans="1:11" x14ac:dyDescent="0.25">
      <c r="A94" t="s">
        <v>4</v>
      </c>
      <c r="B94" s="3">
        <v>46176</v>
      </c>
      <c r="C94">
        <v>6</v>
      </c>
      <c r="D94" s="5">
        <f>_xlfn.XLOOKUP(A94,Planilha1!H:H,Planilha1!J:J)</f>
        <v>0.8</v>
      </c>
      <c r="E94" s="1">
        <f t="shared" si="5"/>
        <v>4.8000000000000007</v>
      </c>
      <c r="F94">
        <f>_xlfn.XLOOKUP(A94,Planilha1!H:H,Planilha1!K:K)</f>
        <v>3</v>
      </c>
      <c r="G94" s="1">
        <f t="shared" si="4"/>
        <v>0.62499999999999989</v>
      </c>
      <c r="H94" s="5">
        <f>_xlfn.XLOOKUP(A94,Planilha1!H:H,Planilha1!L:L)</f>
        <v>5.1999999999999998E-2</v>
      </c>
      <c r="I94">
        <f>_xlfn.XLOOKUP(A94,Planilha1!H:H,Planilha1!M:M)</f>
        <v>1.31</v>
      </c>
      <c r="J94" s="1">
        <f t="shared" si="6"/>
        <v>120.92307692307695</v>
      </c>
      <c r="K94" t="str">
        <f t="shared" si="7"/>
        <v>Pós PUCRJ_46176</v>
      </c>
    </row>
    <row r="95" spans="1:11" x14ac:dyDescent="0.25">
      <c r="A95" t="s">
        <v>4</v>
      </c>
      <c r="B95" s="3">
        <v>46177</v>
      </c>
      <c r="C95">
        <v>0</v>
      </c>
      <c r="D95" s="5">
        <f>_xlfn.XLOOKUP(A95,Planilha1!H:H,Planilha1!J:J)</f>
        <v>0.8</v>
      </c>
      <c r="E95" s="1">
        <f t="shared" si="5"/>
        <v>0</v>
      </c>
      <c r="F95">
        <f>_xlfn.XLOOKUP(A95,Planilha1!H:H,Planilha1!K:K)</f>
        <v>3</v>
      </c>
      <c r="G95" s="1">
        <f t="shared" si="4"/>
        <v>0</v>
      </c>
      <c r="H95" s="5">
        <f>_xlfn.XLOOKUP(A95,Planilha1!H:H,Planilha1!L:L)</f>
        <v>5.1999999999999998E-2</v>
      </c>
      <c r="I95">
        <f>_xlfn.XLOOKUP(A95,Planilha1!H:H,Planilha1!M:M)</f>
        <v>1.31</v>
      </c>
      <c r="J95" s="1">
        <f t="shared" si="6"/>
        <v>0</v>
      </c>
      <c r="K95" t="str">
        <f t="shared" si="7"/>
        <v>Pós PUCRJ_46177</v>
      </c>
    </row>
    <row r="96" spans="1:11" x14ac:dyDescent="0.25">
      <c r="A96" t="s">
        <v>4</v>
      </c>
      <c r="B96" s="3">
        <v>46178</v>
      </c>
      <c r="C96">
        <v>2</v>
      </c>
      <c r="D96" s="5">
        <f>_xlfn.XLOOKUP(A96,Planilha1!H:H,Planilha1!J:J)</f>
        <v>0.8</v>
      </c>
      <c r="E96" s="1">
        <f t="shared" si="5"/>
        <v>1.6</v>
      </c>
      <c r="F96">
        <f>_xlfn.XLOOKUP(A96,Planilha1!H:H,Planilha1!K:K)</f>
        <v>3</v>
      </c>
      <c r="G96" s="1">
        <f t="shared" si="4"/>
        <v>1.875</v>
      </c>
      <c r="H96" s="5">
        <f>_xlfn.XLOOKUP(A96,Planilha1!H:H,Planilha1!L:L)</f>
        <v>5.1999999999999998E-2</v>
      </c>
      <c r="I96">
        <f>_xlfn.XLOOKUP(A96,Planilha1!H:H,Planilha1!M:M)</f>
        <v>1.31</v>
      </c>
      <c r="J96" s="1">
        <f t="shared" si="6"/>
        <v>40.307692307692314</v>
      </c>
      <c r="K96" t="str">
        <f t="shared" si="7"/>
        <v>Pós PUCRJ_46178</v>
      </c>
    </row>
    <row r="97" spans="1:11" x14ac:dyDescent="0.25">
      <c r="A97" t="s">
        <v>4</v>
      </c>
      <c r="B97" s="3">
        <v>46179</v>
      </c>
      <c r="C97">
        <v>1</v>
      </c>
      <c r="D97" s="5">
        <f>_xlfn.XLOOKUP(A97,Planilha1!H:H,Planilha1!J:J)</f>
        <v>0.8</v>
      </c>
      <c r="E97" s="1">
        <f t="shared" si="5"/>
        <v>0.8</v>
      </c>
      <c r="F97">
        <f>_xlfn.XLOOKUP(A97,Planilha1!H:H,Planilha1!K:K)</f>
        <v>3</v>
      </c>
      <c r="G97" s="1">
        <f t="shared" si="4"/>
        <v>3.75</v>
      </c>
      <c r="H97" s="5">
        <f>_xlfn.XLOOKUP(A97,Planilha1!H:H,Planilha1!L:L)</f>
        <v>5.1999999999999998E-2</v>
      </c>
      <c r="I97">
        <f>_xlfn.XLOOKUP(A97,Planilha1!H:H,Planilha1!M:M)</f>
        <v>1.31</v>
      </c>
      <c r="J97" s="1">
        <f t="shared" si="6"/>
        <v>20.153846153846157</v>
      </c>
      <c r="K97" t="str">
        <f t="shared" si="7"/>
        <v>Pós PUCRJ_46179</v>
      </c>
    </row>
    <row r="98" spans="1:11" x14ac:dyDescent="0.25">
      <c r="A98" t="s">
        <v>4</v>
      </c>
      <c r="B98" s="3">
        <v>46180</v>
      </c>
      <c r="C98">
        <v>0</v>
      </c>
      <c r="D98" s="5">
        <f>_xlfn.XLOOKUP(A98,Planilha1!H:H,Planilha1!J:J)</f>
        <v>0.8</v>
      </c>
      <c r="E98" s="1">
        <f t="shared" si="5"/>
        <v>0</v>
      </c>
      <c r="F98">
        <f>_xlfn.XLOOKUP(A98,Planilha1!H:H,Planilha1!K:K)</f>
        <v>3</v>
      </c>
      <c r="G98" s="1">
        <f t="shared" si="4"/>
        <v>0</v>
      </c>
      <c r="H98" s="5">
        <f>_xlfn.XLOOKUP(A98,Planilha1!H:H,Planilha1!L:L)</f>
        <v>5.1999999999999998E-2</v>
      </c>
      <c r="I98">
        <f>_xlfn.XLOOKUP(A98,Planilha1!H:H,Planilha1!M:M)</f>
        <v>1.31</v>
      </c>
      <c r="J98" s="1">
        <f t="shared" si="6"/>
        <v>0</v>
      </c>
      <c r="K98" t="str">
        <f t="shared" si="7"/>
        <v>Pós PUCRJ_46180</v>
      </c>
    </row>
    <row r="99" spans="1:11" x14ac:dyDescent="0.25">
      <c r="A99" t="s">
        <v>4</v>
      </c>
      <c r="B99" s="3">
        <v>46181</v>
      </c>
      <c r="C99">
        <v>10</v>
      </c>
      <c r="D99" s="5">
        <f>_xlfn.XLOOKUP(A99,Planilha1!H:H,Planilha1!J:J)</f>
        <v>0.8</v>
      </c>
      <c r="E99" s="1">
        <f t="shared" si="5"/>
        <v>8</v>
      </c>
      <c r="F99">
        <f>_xlfn.XLOOKUP(A99,Planilha1!H:H,Planilha1!K:K)</f>
        <v>3</v>
      </c>
      <c r="G99" s="1">
        <f t="shared" si="4"/>
        <v>0.375</v>
      </c>
      <c r="H99" s="5">
        <f>_xlfn.XLOOKUP(A99,Planilha1!H:H,Planilha1!L:L)</f>
        <v>5.1999999999999998E-2</v>
      </c>
      <c r="I99">
        <f>_xlfn.XLOOKUP(A99,Planilha1!H:H,Planilha1!M:M)</f>
        <v>1.31</v>
      </c>
      <c r="J99" s="1">
        <f t="shared" si="6"/>
        <v>201.53846153846155</v>
      </c>
      <c r="K99" t="str">
        <f t="shared" si="7"/>
        <v>Pós PUCRJ_46181</v>
      </c>
    </row>
    <row r="100" spans="1:11" x14ac:dyDescent="0.25">
      <c r="A100" t="s">
        <v>4</v>
      </c>
      <c r="B100" s="3">
        <v>46182</v>
      </c>
      <c r="C100">
        <v>10</v>
      </c>
      <c r="D100" s="5">
        <f>_xlfn.XLOOKUP(A100,Planilha1!H:H,Planilha1!J:J)</f>
        <v>0.8</v>
      </c>
      <c r="E100" s="1">
        <f t="shared" si="5"/>
        <v>8</v>
      </c>
      <c r="F100">
        <f>_xlfn.XLOOKUP(A100,Planilha1!H:H,Planilha1!K:K)</f>
        <v>3</v>
      </c>
      <c r="G100" s="1">
        <f t="shared" si="4"/>
        <v>0.375</v>
      </c>
      <c r="H100" s="5">
        <f>_xlfn.XLOOKUP(A100,Planilha1!H:H,Planilha1!L:L)</f>
        <v>5.1999999999999998E-2</v>
      </c>
      <c r="I100">
        <f>_xlfn.XLOOKUP(A100,Planilha1!H:H,Planilha1!M:M)</f>
        <v>1.31</v>
      </c>
      <c r="J100" s="1">
        <f t="shared" si="6"/>
        <v>201.53846153846155</v>
      </c>
      <c r="K100" t="str">
        <f t="shared" si="7"/>
        <v>Pós PUCRJ_46182</v>
      </c>
    </row>
    <row r="101" spans="1:11" x14ac:dyDescent="0.25">
      <c r="A101" t="s">
        <v>4</v>
      </c>
      <c r="B101" s="3">
        <v>46183</v>
      </c>
      <c r="C101">
        <v>9</v>
      </c>
      <c r="D101" s="5">
        <f>_xlfn.XLOOKUP(A101,Planilha1!H:H,Planilha1!J:J)</f>
        <v>0.8</v>
      </c>
      <c r="E101" s="1">
        <f t="shared" si="5"/>
        <v>7.2</v>
      </c>
      <c r="F101">
        <f>_xlfn.XLOOKUP(A101,Planilha1!H:H,Planilha1!K:K)</f>
        <v>3</v>
      </c>
      <c r="G101" s="1">
        <f t="shared" si="4"/>
        <v>0.41666666666666663</v>
      </c>
      <c r="H101" s="5">
        <f>_xlfn.XLOOKUP(A101,Planilha1!H:H,Planilha1!L:L)</f>
        <v>5.1999999999999998E-2</v>
      </c>
      <c r="I101">
        <f>_xlfn.XLOOKUP(A101,Planilha1!H:H,Planilha1!M:M)</f>
        <v>1.31</v>
      </c>
      <c r="J101" s="1">
        <f t="shared" si="6"/>
        <v>181.38461538461542</v>
      </c>
      <c r="K101" t="str">
        <f t="shared" si="7"/>
        <v>Pós PUCRJ_46183</v>
      </c>
    </row>
    <row r="102" spans="1:11" x14ac:dyDescent="0.25">
      <c r="A102" t="s">
        <v>4</v>
      </c>
      <c r="B102" s="3">
        <v>46184</v>
      </c>
      <c r="C102">
        <v>9</v>
      </c>
      <c r="D102" s="5">
        <f>_xlfn.XLOOKUP(A102,Planilha1!H:H,Planilha1!J:J)</f>
        <v>0.8</v>
      </c>
      <c r="E102" s="1">
        <f t="shared" si="5"/>
        <v>7.2</v>
      </c>
      <c r="F102">
        <f>_xlfn.XLOOKUP(A102,Planilha1!H:H,Planilha1!K:K)</f>
        <v>3</v>
      </c>
      <c r="G102" s="1">
        <f t="shared" si="4"/>
        <v>0.41666666666666663</v>
      </c>
      <c r="H102" s="5">
        <f>_xlfn.XLOOKUP(A102,Planilha1!H:H,Planilha1!L:L)</f>
        <v>5.1999999999999998E-2</v>
      </c>
      <c r="I102">
        <f>_xlfn.XLOOKUP(A102,Planilha1!H:H,Planilha1!M:M)</f>
        <v>1.31</v>
      </c>
      <c r="J102" s="1">
        <f t="shared" si="6"/>
        <v>181.38461538461542</v>
      </c>
      <c r="K102" t="str">
        <f t="shared" si="7"/>
        <v>Pós PUCRJ_46184</v>
      </c>
    </row>
    <row r="103" spans="1:11" x14ac:dyDescent="0.25">
      <c r="A103" t="s">
        <v>4</v>
      </c>
      <c r="B103" s="3">
        <v>46185</v>
      </c>
      <c r="C103">
        <v>7</v>
      </c>
      <c r="D103" s="5">
        <f>_xlfn.XLOOKUP(A103,Planilha1!H:H,Planilha1!J:J)</f>
        <v>0.8</v>
      </c>
      <c r="E103" s="1">
        <f t="shared" si="5"/>
        <v>5.6000000000000005</v>
      </c>
      <c r="F103">
        <f>_xlfn.XLOOKUP(A103,Planilha1!H:H,Planilha1!K:K)</f>
        <v>3</v>
      </c>
      <c r="G103" s="1">
        <f t="shared" si="4"/>
        <v>0.5357142857142857</v>
      </c>
      <c r="H103" s="5">
        <f>_xlfn.XLOOKUP(A103,Planilha1!H:H,Planilha1!L:L)</f>
        <v>5.1999999999999998E-2</v>
      </c>
      <c r="I103">
        <f>_xlfn.XLOOKUP(A103,Planilha1!H:H,Planilha1!M:M)</f>
        <v>1.31</v>
      </c>
      <c r="J103" s="1">
        <f t="shared" si="6"/>
        <v>141.07692307692309</v>
      </c>
      <c r="K103" t="str">
        <f t="shared" si="7"/>
        <v>Pós PUCRJ_46185</v>
      </c>
    </row>
    <row r="104" spans="1:11" x14ac:dyDescent="0.25">
      <c r="A104" t="s">
        <v>4</v>
      </c>
      <c r="B104" s="3">
        <v>46186</v>
      </c>
      <c r="C104">
        <v>0</v>
      </c>
      <c r="D104" s="5">
        <f>_xlfn.XLOOKUP(A104,Planilha1!H:H,Planilha1!J:J)</f>
        <v>0.8</v>
      </c>
      <c r="E104" s="1">
        <f t="shared" si="5"/>
        <v>0</v>
      </c>
      <c r="F104">
        <f>_xlfn.XLOOKUP(A104,Planilha1!H:H,Planilha1!K:K)</f>
        <v>3</v>
      </c>
      <c r="G104" s="1">
        <f t="shared" si="4"/>
        <v>0</v>
      </c>
      <c r="H104" s="5">
        <f>_xlfn.XLOOKUP(A104,Planilha1!H:H,Planilha1!L:L)</f>
        <v>5.1999999999999998E-2</v>
      </c>
      <c r="I104">
        <f>_xlfn.XLOOKUP(A104,Planilha1!H:H,Planilha1!M:M)</f>
        <v>1.31</v>
      </c>
      <c r="J104" s="1">
        <f t="shared" si="6"/>
        <v>0</v>
      </c>
      <c r="K104" t="str">
        <f t="shared" si="7"/>
        <v>Pós PUCRJ_46186</v>
      </c>
    </row>
    <row r="105" spans="1:11" x14ac:dyDescent="0.25">
      <c r="A105" t="s">
        <v>4</v>
      </c>
      <c r="B105" s="3">
        <v>46187</v>
      </c>
      <c r="C105">
        <v>0</v>
      </c>
      <c r="D105" s="5">
        <f>_xlfn.XLOOKUP(A105,Planilha1!H:H,Planilha1!J:J)</f>
        <v>0.8</v>
      </c>
      <c r="E105" s="1">
        <f t="shared" si="5"/>
        <v>0</v>
      </c>
      <c r="F105">
        <f>_xlfn.XLOOKUP(A105,Planilha1!H:H,Planilha1!K:K)</f>
        <v>3</v>
      </c>
      <c r="G105" s="1">
        <f t="shared" si="4"/>
        <v>0</v>
      </c>
      <c r="H105" s="5">
        <f>_xlfn.XLOOKUP(A105,Planilha1!H:H,Planilha1!L:L)</f>
        <v>5.1999999999999998E-2</v>
      </c>
      <c r="I105">
        <f>_xlfn.XLOOKUP(A105,Planilha1!H:H,Planilha1!M:M)</f>
        <v>1.31</v>
      </c>
      <c r="J105" s="1">
        <f t="shared" si="6"/>
        <v>0</v>
      </c>
      <c r="K105" t="str">
        <f t="shared" si="7"/>
        <v>Pós PUCRJ_46187</v>
      </c>
    </row>
    <row r="106" spans="1:11" x14ac:dyDescent="0.25">
      <c r="A106" t="s">
        <v>4</v>
      </c>
      <c r="B106" s="3">
        <v>46188</v>
      </c>
      <c r="C106">
        <v>7</v>
      </c>
      <c r="D106" s="5">
        <f>_xlfn.XLOOKUP(A106,Planilha1!H:H,Planilha1!J:J)</f>
        <v>0.8</v>
      </c>
      <c r="E106" s="1">
        <f t="shared" si="5"/>
        <v>5.6000000000000005</v>
      </c>
      <c r="F106">
        <f>_xlfn.XLOOKUP(A106,Planilha1!H:H,Planilha1!K:K)</f>
        <v>3</v>
      </c>
      <c r="G106" s="1">
        <f t="shared" si="4"/>
        <v>0.5357142857142857</v>
      </c>
      <c r="H106" s="5">
        <f>_xlfn.XLOOKUP(A106,Planilha1!H:H,Planilha1!L:L)</f>
        <v>5.1999999999999998E-2</v>
      </c>
      <c r="I106">
        <f>_xlfn.XLOOKUP(A106,Planilha1!H:H,Planilha1!M:M)</f>
        <v>1.31</v>
      </c>
      <c r="J106" s="1">
        <f t="shared" si="6"/>
        <v>141.07692307692309</v>
      </c>
      <c r="K106" t="str">
        <f t="shared" si="7"/>
        <v>Pós PUCRJ_46188</v>
      </c>
    </row>
    <row r="107" spans="1:11" x14ac:dyDescent="0.25">
      <c r="A107" t="s">
        <v>4</v>
      </c>
      <c r="B107" s="3">
        <v>46189</v>
      </c>
      <c r="C107">
        <v>7</v>
      </c>
      <c r="D107" s="5">
        <f>_xlfn.XLOOKUP(A107,Planilha1!H:H,Planilha1!J:J)</f>
        <v>0.8</v>
      </c>
      <c r="E107" s="1">
        <f t="shared" si="5"/>
        <v>5.6000000000000005</v>
      </c>
      <c r="F107">
        <f>_xlfn.XLOOKUP(A107,Planilha1!H:H,Planilha1!K:K)</f>
        <v>3</v>
      </c>
      <c r="G107" s="1">
        <f t="shared" si="4"/>
        <v>0.5357142857142857</v>
      </c>
      <c r="H107" s="5">
        <f>_xlfn.XLOOKUP(A107,Planilha1!H:H,Planilha1!L:L)</f>
        <v>5.1999999999999998E-2</v>
      </c>
      <c r="I107">
        <f>_xlfn.XLOOKUP(A107,Planilha1!H:H,Planilha1!M:M)</f>
        <v>1.31</v>
      </c>
      <c r="J107" s="1">
        <f t="shared" si="6"/>
        <v>141.07692307692309</v>
      </c>
      <c r="K107" t="str">
        <f t="shared" si="7"/>
        <v>Pós PUCRJ_46189</v>
      </c>
    </row>
    <row r="108" spans="1:11" x14ac:dyDescent="0.25">
      <c r="A108" t="s">
        <v>4</v>
      </c>
      <c r="B108" s="3">
        <v>46190</v>
      </c>
      <c r="C108">
        <v>7</v>
      </c>
      <c r="D108" s="5">
        <f>_xlfn.XLOOKUP(A108,Planilha1!H:H,Planilha1!J:J)</f>
        <v>0.8</v>
      </c>
      <c r="E108" s="1">
        <f t="shared" si="5"/>
        <v>5.6000000000000005</v>
      </c>
      <c r="F108">
        <f>_xlfn.XLOOKUP(A108,Planilha1!H:H,Planilha1!K:K)</f>
        <v>3</v>
      </c>
      <c r="G108" s="1">
        <f t="shared" si="4"/>
        <v>0.5357142857142857</v>
      </c>
      <c r="H108" s="5">
        <f>_xlfn.XLOOKUP(A108,Planilha1!H:H,Planilha1!L:L)</f>
        <v>5.1999999999999998E-2</v>
      </c>
      <c r="I108">
        <f>_xlfn.XLOOKUP(A108,Planilha1!H:H,Planilha1!M:M)</f>
        <v>1.31</v>
      </c>
      <c r="J108" s="1">
        <f t="shared" si="6"/>
        <v>141.07692307692309</v>
      </c>
      <c r="K108" t="str">
        <f t="shared" si="7"/>
        <v>Pós PUCRJ_46190</v>
      </c>
    </row>
    <row r="109" spans="1:11" x14ac:dyDescent="0.25">
      <c r="A109" t="s">
        <v>4</v>
      </c>
      <c r="B109" s="3">
        <v>46191</v>
      </c>
      <c r="C109">
        <v>7</v>
      </c>
      <c r="D109" s="5">
        <f>_xlfn.XLOOKUP(A109,Planilha1!H:H,Planilha1!J:J)</f>
        <v>0.8</v>
      </c>
      <c r="E109" s="1">
        <f t="shared" si="5"/>
        <v>5.6000000000000005</v>
      </c>
      <c r="F109">
        <f>_xlfn.XLOOKUP(A109,Planilha1!H:H,Planilha1!K:K)</f>
        <v>3</v>
      </c>
      <c r="G109" s="1">
        <f t="shared" si="4"/>
        <v>0.5357142857142857</v>
      </c>
      <c r="H109" s="5">
        <f>_xlfn.XLOOKUP(A109,Planilha1!H:H,Planilha1!L:L)</f>
        <v>5.1999999999999998E-2</v>
      </c>
      <c r="I109">
        <f>_xlfn.XLOOKUP(A109,Planilha1!H:H,Planilha1!M:M)</f>
        <v>1.31</v>
      </c>
      <c r="J109" s="1">
        <f t="shared" si="6"/>
        <v>141.07692307692309</v>
      </c>
      <c r="K109" t="str">
        <f t="shared" si="7"/>
        <v>Pós PUCRJ_46191</v>
      </c>
    </row>
    <row r="110" spans="1:11" x14ac:dyDescent="0.25">
      <c r="A110" t="s">
        <v>4</v>
      </c>
      <c r="B110" s="3">
        <v>46192</v>
      </c>
      <c r="C110">
        <v>7</v>
      </c>
      <c r="D110" s="5">
        <f>_xlfn.XLOOKUP(A110,Planilha1!H:H,Planilha1!J:J)</f>
        <v>0.8</v>
      </c>
      <c r="E110" s="1">
        <f t="shared" si="5"/>
        <v>5.6000000000000005</v>
      </c>
      <c r="F110">
        <f>_xlfn.XLOOKUP(A110,Planilha1!H:H,Planilha1!K:K)</f>
        <v>3</v>
      </c>
      <c r="G110" s="1">
        <f t="shared" si="4"/>
        <v>0.5357142857142857</v>
      </c>
      <c r="H110" s="5">
        <f>_xlfn.XLOOKUP(A110,Planilha1!H:H,Planilha1!L:L)</f>
        <v>5.1999999999999998E-2</v>
      </c>
      <c r="I110">
        <f>_xlfn.XLOOKUP(A110,Planilha1!H:H,Planilha1!M:M)</f>
        <v>1.31</v>
      </c>
      <c r="J110" s="1">
        <f t="shared" si="6"/>
        <v>141.07692307692309</v>
      </c>
      <c r="K110" t="str">
        <f t="shared" si="7"/>
        <v>Pós PUCRJ_46192</v>
      </c>
    </row>
    <row r="111" spans="1:11" x14ac:dyDescent="0.25">
      <c r="A111" t="s">
        <v>4</v>
      </c>
      <c r="B111" s="3">
        <v>46193</v>
      </c>
      <c r="C111">
        <v>0</v>
      </c>
      <c r="D111" s="5">
        <f>_xlfn.XLOOKUP(A111,Planilha1!H:H,Planilha1!J:J)</f>
        <v>0.8</v>
      </c>
      <c r="E111" s="1">
        <f t="shared" si="5"/>
        <v>0</v>
      </c>
      <c r="F111">
        <f>_xlfn.XLOOKUP(A111,Planilha1!H:H,Planilha1!K:K)</f>
        <v>3</v>
      </c>
      <c r="G111" s="1">
        <f t="shared" si="4"/>
        <v>0</v>
      </c>
      <c r="H111" s="5">
        <f>_xlfn.XLOOKUP(A111,Planilha1!H:H,Planilha1!L:L)</f>
        <v>5.1999999999999998E-2</v>
      </c>
      <c r="I111">
        <f>_xlfn.XLOOKUP(A111,Planilha1!H:H,Planilha1!M:M)</f>
        <v>1.31</v>
      </c>
      <c r="J111" s="1">
        <f t="shared" si="6"/>
        <v>0</v>
      </c>
      <c r="K111" t="str">
        <f t="shared" si="7"/>
        <v>Pós PUCRJ_46193</v>
      </c>
    </row>
    <row r="112" spans="1:11" x14ac:dyDescent="0.25">
      <c r="A112" t="s">
        <v>4</v>
      </c>
      <c r="B112" s="3">
        <v>46194</v>
      </c>
      <c r="C112">
        <v>0</v>
      </c>
      <c r="D112" s="5">
        <f>_xlfn.XLOOKUP(A112,Planilha1!H:H,Planilha1!J:J)</f>
        <v>0.8</v>
      </c>
      <c r="E112" s="1">
        <f t="shared" si="5"/>
        <v>0</v>
      </c>
      <c r="F112">
        <f>_xlfn.XLOOKUP(A112,Planilha1!H:H,Planilha1!K:K)</f>
        <v>3</v>
      </c>
      <c r="G112" s="1">
        <f t="shared" si="4"/>
        <v>0</v>
      </c>
      <c r="H112" s="5">
        <f>_xlfn.XLOOKUP(A112,Planilha1!H:H,Planilha1!L:L)</f>
        <v>5.1999999999999998E-2</v>
      </c>
      <c r="I112">
        <f>_xlfn.XLOOKUP(A112,Planilha1!H:H,Planilha1!M:M)</f>
        <v>1.31</v>
      </c>
      <c r="J112" s="1">
        <f t="shared" si="6"/>
        <v>0</v>
      </c>
      <c r="K112" t="str">
        <f t="shared" si="7"/>
        <v>Pós PUCRJ_46194</v>
      </c>
    </row>
    <row r="113" spans="1:11" x14ac:dyDescent="0.25">
      <c r="A113" t="s">
        <v>4</v>
      </c>
      <c r="B113" s="3">
        <v>46195</v>
      </c>
      <c r="C113">
        <v>8</v>
      </c>
      <c r="D113" s="5">
        <f>_xlfn.XLOOKUP(A113,Planilha1!H:H,Planilha1!J:J)</f>
        <v>0.8</v>
      </c>
      <c r="E113" s="1">
        <f t="shared" si="5"/>
        <v>6.4</v>
      </c>
      <c r="F113">
        <f>_xlfn.XLOOKUP(A113,Planilha1!H:H,Planilha1!K:K)</f>
        <v>3</v>
      </c>
      <c r="G113" s="1">
        <f t="shared" si="4"/>
        <v>0.46875</v>
      </c>
      <c r="H113" s="5">
        <f>_xlfn.XLOOKUP(A113,Planilha1!H:H,Planilha1!L:L)</f>
        <v>5.1999999999999998E-2</v>
      </c>
      <c r="I113">
        <f>_xlfn.XLOOKUP(A113,Planilha1!H:H,Planilha1!M:M)</f>
        <v>1.31</v>
      </c>
      <c r="J113" s="1">
        <f t="shared" si="6"/>
        <v>161.23076923076925</v>
      </c>
      <c r="K113" t="str">
        <f t="shared" si="7"/>
        <v>Pós PUCRJ_46195</v>
      </c>
    </row>
    <row r="114" spans="1:11" x14ac:dyDescent="0.25">
      <c r="A114" t="s">
        <v>4</v>
      </c>
      <c r="B114" s="3">
        <v>46196</v>
      </c>
      <c r="C114">
        <v>8</v>
      </c>
      <c r="D114" s="5">
        <f>_xlfn.XLOOKUP(A114,Planilha1!H:H,Planilha1!J:J)</f>
        <v>0.8</v>
      </c>
      <c r="E114" s="1">
        <f t="shared" si="5"/>
        <v>6.4</v>
      </c>
      <c r="F114">
        <f>_xlfn.XLOOKUP(A114,Planilha1!H:H,Planilha1!K:K)</f>
        <v>3</v>
      </c>
      <c r="G114" s="1">
        <f t="shared" si="4"/>
        <v>0.46875</v>
      </c>
      <c r="H114" s="5">
        <f>_xlfn.XLOOKUP(A114,Planilha1!H:H,Planilha1!L:L)</f>
        <v>5.1999999999999998E-2</v>
      </c>
      <c r="I114">
        <f>_xlfn.XLOOKUP(A114,Planilha1!H:H,Planilha1!M:M)</f>
        <v>1.31</v>
      </c>
      <c r="J114" s="1">
        <f t="shared" si="6"/>
        <v>161.23076923076925</v>
      </c>
      <c r="K114" t="str">
        <f t="shared" si="7"/>
        <v>Pós PUCRJ_46196</v>
      </c>
    </row>
    <row r="115" spans="1:11" x14ac:dyDescent="0.25">
      <c r="A115" t="s">
        <v>4</v>
      </c>
      <c r="B115" s="3">
        <v>46197</v>
      </c>
      <c r="C115">
        <v>7</v>
      </c>
      <c r="D115" s="5">
        <f>_xlfn.XLOOKUP(A115,Planilha1!H:H,Planilha1!J:J)</f>
        <v>0.8</v>
      </c>
      <c r="E115" s="1">
        <f t="shared" si="5"/>
        <v>5.6000000000000005</v>
      </c>
      <c r="F115">
        <f>_xlfn.XLOOKUP(A115,Planilha1!H:H,Planilha1!K:K)</f>
        <v>3</v>
      </c>
      <c r="G115" s="1">
        <f t="shared" si="4"/>
        <v>0.5357142857142857</v>
      </c>
      <c r="H115" s="5">
        <f>_xlfn.XLOOKUP(A115,Planilha1!H:H,Planilha1!L:L)</f>
        <v>5.1999999999999998E-2</v>
      </c>
      <c r="I115">
        <f>_xlfn.XLOOKUP(A115,Planilha1!H:H,Planilha1!M:M)</f>
        <v>1.31</v>
      </c>
      <c r="J115" s="1">
        <f t="shared" si="6"/>
        <v>141.07692307692309</v>
      </c>
      <c r="K115" t="str">
        <f t="shared" si="7"/>
        <v>Pós PUCRJ_46197</v>
      </c>
    </row>
    <row r="116" spans="1:11" x14ac:dyDescent="0.25">
      <c r="A116" t="s">
        <v>4</v>
      </c>
      <c r="B116" s="3">
        <v>46198</v>
      </c>
      <c r="C116">
        <v>8</v>
      </c>
      <c r="D116" s="5">
        <f>_xlfn.XLOOKUP(A116,Planilha1!H:H,Planilha1!J:J)</f>
        <v>0.8</v>
      </c>
      <c r="E116" s="1">
        <f t="shared" si="5"/>
        <v>6.4</v>
      </c>
      <c r="F116">
        <f>_xlfn.XLOOKUP(A116,Planilha1!H:H,Planilha1!K:K)</f>
        <v>3</v>
      </c>
      <c r="G116" s="1">
        <f t="shared" si="4"/>
        <v>0.46875</v>
      </c>
      <c r="H116" s="5">
        <f>_xlfn.XLOOKUP(A116,Planilha1!H:H,Planilha1!L:L)</f>
        <v>5.1999999999999998E-2</v>
      </c>
      <c r="I116">
        <f>_xlfn.XLOOKUP(A116,Planilha1!H:H,Planilha1!M:M)</f>
        <v>1.31</v>
      </c>
      <c r="J116" s="1">
        <f t="shared" si="6"/>
        <v>161.23076923076925</v>
      </c>
      <c r="K116" t="str">
        <f t="shared" si="7"/>
        <v>Pós PUCRJ_46198</v>
      </c>
    </row>
    <row r="117" spans="1:11" x14ac:dyDescent="0.25">
      <c r="A117" t="s">
        <v>4</v>
      </c>
      <c r="B117" s="3">
        <v>46199</v>
      </c>
      <c r="C117">
        <v>8</v>
      </c>
      <c r="D117" s="5">
        <f>_xlfn.XLOOKUP(A117,Planilha1!H:H,Planilha1!J:J)</f>
        <v>0.8</v>
      </c>
      <c r="E117" s="1">
        <f t="shared" si="5"/>
        <v>6.4</v>
      </c>
      <c r="F117">
        <f>_xlfn.XLOOKUP(A117,Planilha1!H:H,Planilha1!K:K)</f>
        <v>3</v>
      </c>
      <c r="G117" s="1">
        <f t="shared" si="4"/>
        <v>0.46875</v>
      </c>
      <c r="H117" s="5">
        <f>_xlfn.XLOOKUP(A117,Planilha1!H:H,Planilha1!L:L)</f>
        <v>5.1999999999999998E-2</v>
      </c>
      <c r="I117">
        <f>_xlfn.XLOOKUP(A117,Planilha1!H:H,Planilha1!M:M)</f>
        <v>1.31</v>
      </c>
      <c r="J117" s="1">
        <f t="shared" si="6"/>
        <v>161.23076923076925</v>
      </c>
      <c r="K117" t="str">
        <f t="shared" si="7"/>
        <v>Pós PUCRJ_46199</v>
      </c>
    </row>
    <row r="118" spans="1:11" x14ac:dyDescent="0.25">
      <c r="A118" t="s">
        <v>4</v>
      </c>
      <c r="B118" s="3">
        <v>46200</v>
      </c>
      <c r="C118">
        <v>1</v>
      </c>
      <c r="D118" s="5">
        <f>_xlfn.XLOOKUP(A118,Planilha1!H:H,Planilha1!J:J)</f>
        <v>0.8</v>
      </c>
      <c r="E118" s="1">
        <f t="shared" si="5"/>
        <v>0.8</v>
      </c>
      <c r="F118">
        <f>_xlfn.XLOOKUP(A118,Planilha1!H:H,Planilha1!K:K)</f>
        <v>3</v>
      </c>
      <c r="G118" s="1">
        <f t="shared" si="4"/>
        <v>3.75</v>
      </c>
      <c r="H118" s="5">
        <f>_xlfn.XLOOKUP(A118,Planilha1!H:H,Planilha1!L:L)</f>
        <v>5.1999999999999998E-2</v>
      </c>
      <c r="I118">
        <f>_xlfn.XLOOKUP(A118,Planilha1!H:H,Planilha1!M:M)</f>
        <v>1.31</v>
      </c>
      <c r="J118" s="1">
        <f t="shared" si="6"/>
        <v>20.153846153846157</v>
      </c>
      <c r="K118" t="str">
        <f t="shared" si="7"/>
        <v>Pós PUCRJ_46200</v>
      </c>
    </row>
    <row r="119" spans="1:11" x14ac:dyDescent="0.25">
      <c r="A119" t="s">
        <v>4</v>
      </c>
      <c r="B119" s="3">
        <v>46201</v>
      </c>
      <c r="C119">
        <v>0</v>
      </c>
      <c r="D119" s="5">
        <f>_xlfn.XLOOKUP(A119,Planilha1!H:H,Planilha1!J:J)</f>
        <v>0.8</v>
      </c>
      <c r="E119" s="1">
        <f t="shared" si="5"/>
        <v>0</v>
      </c>
      <c r="F119">
        <f>_xlfn.XLOOKUP(A119,Planilha1!H:H,Planilha1!K:K)</f>
        <v>3</v>
      </c>
      <c r="G119" s="1">
        <f t="shared" si="4"/>
        <v>0</v>
      </c>
      <c r="H119" s="5">
        <f>_xlfn.XLOOKUP(A119,Planilha1!H:H,Planilha1!L:L)</f>
        <v>5.1999999999999998E-2</v>
      </c>
      <c r="I119">
        <f>_xlfn.XLOOKUP(A119,Planilha1!H:H,Planilha1!M:M)</f>
        <v>1.31</v>
      </c>
      <c r="J119" s="1">
        <f t="shared" si="6"/>
        <v>0</v>
      </c>
      <c r="K119" t="str">
        <f t="shared" si="7"/>
        <v>Pós PUCRJ_46201</v>
      </c>
    </row>
    <row r="120" spans="1:11" x14ac:dyDescent="0.25">
      <c r="A120" t="s">
        <v>4</v>
      </c>
      <c r="B120" s="3">
        <v>46202</v>
      </c>
      <c r="C120">
        <v>7</v>
      </c>
      <c r="D120" s="5">
        <f>_xlfn.XLOOKUP(A120,Planilha1!H:H,Planilha1!J:J)</f>
        <v>0.8</v>
      </c>
      <c r="E120" s="1">
        <f t="shared" si="5"/>
        <v>5.6000000000000005</v>
      </c>
      <c r="F120">
        <f>_xlfn.XLOOKUP(A120,Planilha1!H:H,Planilha1!K:K)</f>
        <v>3</v>
      </c>
      <c r="G120" s="1">
        <f t="shared" si="4"/>
        <v>0.5357142857142857</v>
      </c>
      <c r="H120" s="5">
        <f>_xlfn.XLOOKUP(A120,Planilha1!H:H,Planilha1!L:L)</f>
        <v>5.1999999999999998E-2</v>
      </c>
      <c r="I120">
        <f>_xlfn.XLOOKUP(A120,Planilha1!H:H,Planilha1!M:M)</f>
        <v>1.31</v>
      </c>
      <c r="J120" s="1">
        <f t="shared" si="6"/>
        <v>141.07692307692309</v>
      </c>
      <c r="K120" t="str">
        <f t="shared" si="7"/>
        <v>Pós PUCRJ_46202</v>
      </c>
    </row>
    <row r="121" spans="1:11" x14ac:dyDescent="0.25">
      <c r="A121" t="s">
        <v>4</v>
      </c>
      <c r="B121" s="3">
        <v>46203</v>
      </c>
      <c r="C121">
        <v>7</v>
      </c>
      <c r="D121" s="5">
        <f>_xlfn.XLOOKUP(A121,Planilha1!H:H,Planilha1!J:J)</f>
        <v>0.8</v>
      </c>
      <c r="E121" s="1">
        <f t="shared" si="5"/>
        <v>5.6000000000000005</v>
      </c>
      <c r="F121">
        <f>_xlfn.XLOOKUP(A121,Planilha1!H:H,Planilha1!K:K)</f>
        <v>3</v>
      </c>
      <c r="G121" s="1">
        <f t="shared" si="4"/>
        <v>0.5357142857142857</v>
      </c>
      <c r="H121" s="5">
        <f>_xlfn.XLOOKUP(A121,Planilha1!H:H,Planilha1!L:L)</f>
        <v>5.1999999999999998E-2</v>
      </c>
      <c r="I121">
        <f>_xlfn.XLOOKUP(A121,Planilha1!H:H,Planilha1!M:M)</f>
        <v>1.31</v>
      </c>
      <c r="J121" s="1">
        <f t="shared" si="6"/>
        <v>141.07692307692309</v>
      </c>
      <c r="K121" t="str">
        <f t="shared" si="7"/>
        <v>Pós PUCRJ_46203</v>
      </c>
    </row>
    <row r="122" spans="1:11" x14ac:dyDescent="0.25">
      <c r="A122" t="s">
        <v>8</v>
      </c>
      <c r="B122" s="3">
        <v>46174</v>
      </c>
      <c r="C122">
        <v>10</v>
      </c>
      <c r="D122" s="5">
        <f>_xlfn.XLOOKUP(A122,Planilha1!H:H,Planilha1!J:J)</f>
        <v>0.9</v>
      </c>
      <c r="E122" s="1">
        <f t="shared" si="5"/>
        <v>9</v>
      </c>
      <c r="F122">
        <f>_xlfn.XLOOKUP(A122,Planilha1!H:H,Planilha1!K:K)</f>
        <v>5</v>
      </c>
      <c r="G122" s="1">
        <f t="shared" si="4"/>
        <v>0.55555555555555558</v>
      </c>
      <c r="H122" s="5">
        <f>_xlfn.XLOOKUP(A122,Planilha1!H:H,Planilha1!L:L)</f>
        <v>5.8000000000000003E-2</v>
      </c>
      <c r="I122">
        <f>_xlfn.XLOOKUP(A122,Planilha1!H:H,Planilha1!M:M)</f>
        <v>1.27</v>
      </c>
      <c r="J122" s="1">
        <f t="shared" si="6"/>
        <v>197.06896551724137</v>
      </c>
      <c r="K122" t="str">
        <f t="shared" si="7"/>
        <v>PUCRJ Collab_46174</v>
      </c>
    </row>
    <row r="123" spans="1:11" x14ac:dyDescent="0.25">
      <c r="A123" t="s">
        <v>8</v>
      </c>
      <c r="B123" s="3">
        <v>46175</v>
      </c>
      <c r="C123">
        <v>10</v>
      </c>
      <c r="D123" s="5">
        <f>_xlfn.XLOOKUP(A123,Planilha1!H:H,Planilha1!J:J)</f>
        <v>0.9</v>
      </c>
      <c r="E123" s="1">
        <f t="shared" si="5"/>
        <v>9</v>
      </c>
      <c r="F123">
        <f>_xlfn.XLOOKUP(A123,Planilha1!H:H,Planilha1!K:K)</f>
        <v>5</v>
      </c>
      <c r="G123" s="1">
        <f t="shared" si="4"/>
        <v>0.55555555555555558</v>
      </c>
      <c r="H123" s="5">
        <f>_xlfn.XLOOKUP(A123,Planilha1!H:H,Planilha1!L:L)</f>
        <v>5.8000000000000003E-2</v>
      </c>
      <c r="I123">
        <f>_xlfn.XLOOKUP(A123,Planilha1!H:H,Planilha1!M:M)</f>
        <v>1.27</v>
      </c>
      <c r="J123" s="1">
        <f t="shared" si="6"/>
        <v>197.06896551724137</v>
      </c>
      <c r="K123" t="str">
        <f t="shared" si="7"/>
        <v>PUCRJ Collab_46175</v>
      </c>
    </row>
    <row r="124" spans="1:11" x14ac:dyDescent="0.25">
      <c r="A124" t="s">
        <v>8</v>
      </c>
      <c r="B124" s="3">
        <v>46176</v>
      </c>
      <c r="C124">
        <v>10</v>
      </c>
      <c r="D124" s="5">
        <f>_xlfn.XLOOKUP(A124,Planilha1!H:H,Planilha1!J:J)</f>
        <v>0.9</v>
      </c>
      <c r="E124" s="1">
        <f t="shared" si="5"/>
        <v>9</v>
      </c>
      <c r="F124">
        <f>_xlfn.XLOOKUP(A124,Planilha1!H:H,Planilha1!K:K)</f>
        <v>5</v>
      </c>
      <c r="G124" s="1">
        <f t="shared" si="4"/>
        <v>0.55555555555555558</v>
      </c>
      <c r="H124" s="5">
        <f>_xlfn.XLOOKUP(A124,Planilha1!H:H,Planilha1!L:L)</f>
        <v>5.8000000000000003E-2</v>
      </c>
      <c r="I124">
        <f>_xlfn.XLOOKUP(A124,Planilha1!H:H,Planilha1!M:M)</f>
        <v>1.27</v>
      </c>
      <c r="J124" s="1">
        <f t="shared" si="6"/>
        <v>197.06896551724137</v>
      </c>
      <c r="K124" t="str">
        <f t="shared" si="7"/>
        <v>PUCRJ Collab_46176</v>
      </c>
    </row>
    <row r="125" spans="1:11" x14ac:dyDescent="0.25">
      <c r="A125" t="s">
        <v>8</v>
      </c>
      <c r="B125" s="3">
        <v>46177</v>
      </c>
      <c r="C125">
        <v>0</v>
      </c>
      <c r="D125" s="5">
        <f>_xlfn.XLOOKUP(A125,Planilha1!H:H,Planilha1!J:J)</f>
        <v>0.9</v>
      </c>
      <c r="E125" s="1">
        <f t="shared" si="5"/>
        <v>0</v>
      </c>
      <c r="F125">
        <f>_xlfn.XLOOKUP(A125,Planilha1!H:H,Planilha1!K:K)</f>
        <v>5</v>
      </c>
      <c r="G125" s="1">
        <f t="shared" si="4"/>
        <v>0</v>
      </c>
      <c r="H125" s="5">
        <f>_xlfn.XLOOKUP(A125,Planilha1!H:H,Planilha1!L:L)</f>
        <v>5.8000000000000003E-2</v>
      </c>
      <c r="I125">
        <f>_xlfn.XLOOKUP(A125,Planilha1!H:H,Planilha1!M:M)</f>
        <v>1.27</v>
      </c>
      <c r="J125" s="1">
        <f t="shared" si="6"/>
        <v>0</v>
      </c>
      <c r="K125" t="str">
        <f t="shared" si="7"/>
        <v>PUCRJ Collab_46177</v>
      </c>
    </row>
    <row r="126" spans="1:11" x14ac:dyDescent="0.25">
      <c r="A126" t="s">
        <v>8</v>
      </c>
      <c r="B126" s="3">
        <v>46178</v>
      </c>
      <c r="C126">
        <v>4</v>
      </c>
      <c r="D126" s="5">
        <f>_xlfn.XLOOKUP(A126,Planilha1!H:H,Planilha1!J:J)</f>
        <v>0.9</v>
      </c>
      <c r="E126" s="1">
        <f t="shared" si="5"/>
        <v>3.6</v>
      </c>
      <c r="F126">
        <f>_xlfn.XLOOKUP(A126,Planilha1!H:H,Planilha1!K:K)</f>
        <v>5</v>
      </c>
      <c r="G126" s="1">
        <f t="shared" si="4"/>
        <v>1.3888888888888888</v>
      </c>
      <c r="H126" s="5">
        <f>_xlfn.XLOOKUP(A126,Planilha1!H:H,Planilha1!L:L)</f>
        <v>5.8000000000000003E-2</v>
      </c>
      <c r="I126">
        <f>_xlfn.XLOOKUP(A126,Planilha1!H:H,Planilha1!M:M)</f>
        <v>1.27</v>
      </c>
      <c r="J126" s="1">
        <f t="shared" si="6"/>
        <v>78.827586206896555</v>
      </c>
      <c r="K126" t="str">
        <f t="shared" si="7"/>
        <v>PUCRJ Collab_46178</v>
      </c>
    </row>
    <row r="127" spans="1:11" x14ac:dyDescent="0.25">
      <c r="A127" t="s">
        <v>8</v>
      </c>
      <c r="B127" s="3">
        <v>46179</v>
      </c>
      <c r="C127">
        <v>2</v>
      </c>
      <c r="D127" s="5">
        <f>_xlfn.XLOOKUP(A127,Planilha1!H:H,Planilha1!J:J)</f>
        <v>0.9</v>
      </c>
      <c r="E127" s="1">
        <f t="shared" si="5"/>
        <v>1.8</v>
      </c>
      <c r="F127">
        <f>_xlfn.XLOOKUP(A127,Planilha1!H:H,Planilha1!K:K)</f>
        <v>5</v>
      </c>
      <c r="G127" s="1">
        <f t="shared" si="4"/>
        <v>2.7777777777777777</v>
      </c>
      <c r="H127" s="5">
        <f>_xlfn.XLOOKUP(A127,Planilha1!H:H,Planilha1!L:L)</f>
        <v>5.8000000000000003E-2</v>
      </c>
      <c r="I127">
        <f>_xlfn.XLOOKUP(A127,Planilha1!H:H,Planilha1!M:M)</f>
        <v>1.27</v>
      </c>
      <c r="J127" s="1">
        <f t="shared" si="6"/>
        <v>39.413793103448278</v>
      </c>
      <c r="K127" t="str">
        <f t="shared" si="7"/>
        <v>PUCRJ Collab_46179</v>
      </c>
    </row>
    <row r="128" spans="1:11" x14ac:dyDescent="0.25">
      <c r="A128" t="s">
        <v>8</v>
      </c>
      <c r="B128" s="3">
        <v>46180</v>
      </c>
      <c r="C128">
        <v>0</v>
      </c>
      <c r="D128" s="5">
        <f>_xlfn.XLOOKUP(A128,Planilha1!H:H,Planilha1!J:J)</f>
        <v>0.9</v>
      </c>
      <c r="E128" s="1">
        <f t="shared" si="5"/>
        <v>0</v>
      </c>
      <c r="F128">
        <f>_xlfn.XLOOKUP(A128,Planilha1!H:H,Planilha1!K:K)</f>
        <v>5</v>
      </c>
      <c r="G128" s="1">
        <f t="shared" si="4"/>
        <v>0</v>
      </c>
      <c r="H128" s="5">
        <f>_xlfn.XLOOKUP(A128,Planilha1!H:H,Planilha1!L:L)</f>
        <v>5.8000000000000003E-2</v>
      </c>
      <c r="I128">
        <f>_xlfn.XLOOKUP(A128,Planilha1!H:H,Planilha1!M:M)</f>
        <v>1.27</v>
      </c>
      <c r="J128" s="1">
        <f t="shared" si="6"/>
        <v>0</v>
      </c>
      <c r="K128" t="str">
        <f t="shared" si="7"/>
        <v>PUCRJ Collab_46180</v>
      </c>
    </row>
    <row r="129" spans="1:11" x14ac:dyDescent="0.25">
      <c r="A129" t="s">
        <v>8</v>
      </c>
      <c r="B129" s="3">
        <v>46181</v>
      </c>
      <c r="C129">
        <v>18</v>
      </c>
      <c r="D129" s="5">
        <f>_xlfn.XLOOKUP(A129,Planilha1!H:H,Planilha1!J:J)</f>
        <v>0.9</v>
      </c>
      <c r="E129" s="1">
        <f t="shared" si="5"/>
        <v>16.2</v>
      </c>
      <c r="F129">
        <f>_xlfn.XLOOKUP(A129,Planilha1!H:H,Planilha1!K:K)</f>
        <v>5</v>
      </c>
      <c r="G129" s="1">
        <f t="shared" si="4"/>
        <v>0.30864197530864201</v>
      </c>
      <c r="H129" s="5">
        <f>_xlfn.XLOOKUP(A129,Planilha1!H:H,Planilha1!L:L)</f>
        <v>5.8000000000000003E-2</v>
      </c>
      <c r="I129">
        <f>_xlfn.XLOOKUP(A129,Planilha1!H:H,Planilha1!M:M)</f>
        <v>1.27</v>
      </c>
      <c r="J129" s="1">
        <f t="shared" si="6"/>
        <v>354.72413793103442</v>
      </c>
      <c r="K129" t="str">
        <f t="shared" si="7"/>
        <v>PUCRJ Collab_46181</v>
      </c>
    </row>
    <row r="130" spans="1:11" x14ac:dyDescent="0.25">
      <c r="A130" t="s">
        <v>8</v>
      </c>
      <c r="B130" s="3">
        <v>46182</v>
      </c>
      <c r="C130">
        <v>18</v>
      </c>
      <c r="D130" s="5">
        <f>_xlfn.XLOOKUP(A130,Planilha1!H:H,Planilha1!J:J)</f>
        <v>0.9</v>
      </c>
      <c r="E130" s="1">
        <f t="shared" si="5"/>
        <v>16.2</v>
      </c>
      <c r="F130">
        <f>_xlfn.XLOOKUP(A130,Planilha1!H:H,Planilha1!K:K)</f>
        <v>5</v>
      </c>
      <c r="G130" s="1">
        <f t="shared" ref="G130:G193" si="8">IFERROR(F130/E130,0)</f>
        <v>0.30864197530864201</v>
      </c>
      <c r="H130" s="5">
        <f>_xlfn.XLOOKUP(A130,Planilha1!H:H,Planilha1!L:L)</f>
        <v>5.8000000000000003E-2</v>
      </c>
      <c r="I130">
        <f>_xlfn.XLOOKUP(A130,Planilha1!H:H,Planilha1!M:M)</f>
        <v>1.27</v>
      </c>
      <c r="J130" s="1">
        <f t="shared" si="6"/>
        <v>354.72413793103442</v>
      </c>
      <c r="K130" t="str">
        <f t="shared" si="7"/>
        <v>PUCRJ Collab_46182</v>
      </c>
    </row>
    <row r="131" spans="1:11" x14ac:dyDescent="0.25">
      <c r="A131" t="s">
        <v>8</v>
      </c>
      <c r="B131" s="3">
        <v>46183</v>
      </c>
      <c r="C131">
        <v>16</v>
      </c>
      <c r="D131" s="5">
        <f>_xlfn.XLOOKUP(A131,Planilha1!H:H,Planilha1!J:J)</f>
        <v>0.9</v>
      </c>
      <c r="E131" s="1">
        <f t="shared" ref="E131:E194" si="9">C131*D131</f>
        <v>14.4</v>
      </c>
      <c r="F131">
        <f>_xlfn.XLOOKUP(A131,Planilha1!H:H,Planilha1!K:K)</f>
        <v>5</v>
      </c>
      <c r="G131" s="1">
        <f t="shared" si="8"/>
        <v>0.34722222222222221</v>
      </c>
      <c r="H131" s="5">
        <f>_xlfn.XLOOKUP(A131,Planilha1!H:H,Planilha1!L:L)</f>
        <v>5.8000000000000003E-2</v>
      </c>
      <c r="I131">
        <f>_xlfn.XLOOKUP(A131,Planilha1!H:H,Planilha1!M:M)</f>
        <v>1.27</v>
      </c>
      <c r="J131" s="1">
        <f t="shared" ref="J131:J194" si="10">(E131/H131)*I131</f>
        <v>315.31034482758622</v>
      </c>
      <c r="K131" t="str">
        <f t="shared" ref="K131:K194" si="11">_xlfn.CONCAT(A131,"_",B131)</f>
        <v>PUCRJ Collab_46183</v>
      </c>
    </row>
    <row r="132" spans="1:11" x14ac:dyDescent="0.25">
      <c r="A132" t="s">
        <v>8</v>
      </c>
      <c r="B132" s="3">
        <v>46184</v>
      </c>
      <c r="C132">
        <v>16</v>
      </c>
      <c r="D132" s="5">
        <f>_xlfn.XLOOKUP(A132,Planilha1!H:H,Planilha1!J:J)</f>
        <v>0.9</v>
      </c>
      <c r="E132" s="1">
        <f t="shared" si="9"/>
        <v>14.4</v>
      </c>
      <c r="F132">
        <f>_xlfn.XLOOKUP(A132,Planilha1!H:H,Planilha1!K:K)</f>
        <v>5</v>
      </c>
      <c r="G132" s="1">
        <f t="shared" si="8"/>
        <v>0.34722222222222221</v>
      </c>
      <c r="H132" s="5">
        <f>_xlfn.XLOOKUP(A132,Planilha1!H:H,Planilha1!L:L)</f>
        <v>5.8000000000000003E-2</v>
      </c>
      <c r="I132">
        <f>_xlfn.XLOOKUP(A132,Planilha1!H:H,Planilha1!M:M)</f>
        <v>1.27</v>
      </c>
      <c r="J132" s="1">
        <f t="shared" si="10"/>
        <v>315.31034482758622</v>
      </c>
      <c r="K132" t="str">
        <f t="shared" si="11"/>
        <v>PUCRJ Collab_46184</v>
      </c>
    </row>
    <row r="133" spans="1:11" x14ac:dyDescent="0.25">
      <c r="A133" t="s">
        <v>8</v>
      </c>
      <c r="B133" s="3">
        <v>46185</v>
      </c>
      <c r="C133">
        <v>12</v>
      </c>
      <c r="D133" s="5">
        <f>_xlfn.XLOOKUP(A133,Planilha1!H:H,Planilha1!J:J)</f>
        <v>0.9</v>
      </c>
      <c r="E133" s="1">
        <f t="shared" si="9"/>
        <v>10.8</v>
      </c>
      <c r="F133">
        <f>_xlfn.XLOOKUP(A133,Planilha1!H:H,Planilha1!K:K)</f>
        <v>5</v>
      </c>
      <c r="G133" s="1">
        <f t="shared" si="8"/>
        <v>0.46296296296296291</v>
      </c>
      <c r="H133" s="5">
        <f>_xlfn.XLOOKUP(A133,Planilha1!H:H,Planilha1!L:L)</f>
        <v>5.8000000000000003E-2</v>
      </c>
      <c r="I133">
        <f>_xlfn.XLOOKUP(A133,Planilha1!H:H,Planilha1!M:M)</f>
        <v>1.27</v>
      </c>
      <c r="J133" s="1">
        <f t="shared" si="10"/>
        <v>236.48275862068965</v>
      </c>
      <c r="K133" t="str">
        <f t="shared" si="11"/>
        <v>PUCRJ Collab_46185</v>
      </c>
    </row>
    <row r="134" spans="1:11" x14ac:dyDescent="0.25">
      <c r="A134" t="s">
        <v>8</v>
      </c>
      <c r="B134" s="3">
        <v>46186</v>
      </c>
      <c r="C134">
        <v>0</v>
      </c>
      <c r="D134" s="5">
        <f>_xlfn.XLOOKUP(A134,Planilha1!H:H,Planilha1!J:J)</f>
        <v>0.9</v>
      </c>
      <c r="E134" s="1">
        <f t="shared" si="9"/>
        <v>0</v>
      </c>
      <c r="F134">
        <f>_xlfn.XLOOKUP(A134,Planilha1!H:H,Planilha1!K:K)</f>
        <v>5</v>
      </c>
      <c r="G134" s="1">
        <f t="shared" si="8"/>
        <v>0</v>
      </c>
      <c r="H134" s="5">
        <f>_xlfn.XLOOKUP(A134,Planilha1!H:H,Planilha1!L:L)</f>
        <v>5.8000000000000003E-2</v>
      </c>
      <c r="I134">
        <f>_xlfn.XLOOKUP(A134,Planilha1!H:H,Planilha1!M:M)</f>
        <v>1.27</v>
      </c>
      <c r="J134" s="1">
        <f t="shared" si="10"/>
        <v>0</v>
      </c>
      <c r="K134" t="str">
        <f t="shared" si="11"/>
        <v>PUCRJ Collab_46186</v>
      </c>
    </row>
    <row r="135" spans="1:11" x14ac:dyDescent="0.25">
      <c r="A135" t="s">
        <v>8</v>
      </c>
      <c r="B135" s="3">
        <v>46187</v>
      </c>
      <c r="C135">
        <v>0</v>
      </c>
      <c r="D135" s="5">
        <f>_xlfn.XLOOKUP(A135,Planilha1!H:H,Planilha1!J:J)</f>
        <v>0.9</v>
      </c>
      <c r="E135" s="1">
        <f t="shared" si="9"/>
        <v>0</v>
      </c>
      <c r="F135">
        <f>_xlfn.XLOOKUP(A135,Planilha1!H:H,Planilha1!K:K)</f>
        <v>5</v>
      </c>
      <c r="G135" s="1">
        <f t="shared" si="8"/>
        <v>0</v>
      </c>
      <c r="H135" s="5">
        <f>_xlfn.XLOOKUP(A135,Planilha1!H:H,Planilha1!L:L)</f>
        <v>5.8000000000000003E-2</v>
      </c>
      <c r="I135">
        <f>_xlfn.XLOOKUP(A135,Planilha1!H:H,Planilha1!M:M)</f>
        <v>1.27</v>
      </c>
      <c r="J135" s="1">
        <f t="shared" si="10"/>
        <v>0</v>
      </c>
      <c r="K135" t="str">
        <f t="shared" si="11"/>
        <v>PUCRJ Collab_46187</v>
      </c>
    </row>
    <row r="136" spans="1:11" x14ac:dyDescent="0.25">
      <c r="A136" t="s">
        <v>8</v>
      </c>
      <c r="B136" s="3">
        <v>46188</v>
      </c>
      <c r="C136">
        <v>12</v>
      </c>
      <c r="D136" s="5">
        <f>_xlfn.XLOOKUP(A136,Planilha1!H:H,Planilha1!J:J)</f>
        <v>0.9</v>
      </c>
      <c r="E136" s="1">
        <f t="shared" si="9"/>
        <v>10.8</v>
      </c>
      <c r="F136">
        <f>_xlfn.XLOOKUP(A136,Planilha1!H:H,Planilha1!K:K)</f>
        <v>5</v>
      </c>
      <c r="G136" s="1">
        <f t="shared" si="8"/>
        <v>0.46296296296296291</v>
      </c>
      <c r="H136" s="5">
        <f>_xlfn.XLOOKUP(A136,Planilha1!H:H,Planilha1!L:L)</f>
        <v>5.8000000000000003E-2</v>
      </c>
      <c r="I136">
        <f>_xlfn.XLOOKUP(A136,Planilha1!H:H,Planilha1!M:M)</f>
        <v>1.27</v>
      </c>
      <c r="J136" s="1">
        <f t="shared" si="10"/>
        <v>236.48275862068965</v>
      </c>
      <c r="K136" t="str">
        <f t="shared" si="11"/>
        <v>PUCRJ Collab_46188</v>
      </c>
    </row>
    <row r="137" spans="1:11" x14ac:dyDescent="0.25">
      <c r="A137" t="s">
        <v>8</v>
      </c>
      <c r="B137" s="3">
        <v>46189</v>
      </c>
      <c r="C137">
        <v>12</v>
      </c>
      <c r="D137" s="5">
        <f>_xlfn.XLOOKUP(A137,Planilha1!H:H,Planilha1!J:J)</f>
        <v>0.9</v>
      </c>
      <c r="E137" s="1">
        <f t="shared" si="9"/>
        <v>10.8</v>
      </c>
      <c r="F137">
        <f>_xlfn.XLOOKUP(A137,Planilha1!H:H,Planilha1!K:K)</f>
        <v>5</v>
      </c>
      <c r="G137" s="1">
        <f t="shared" si="8"/>
        <v>0.46296296296296291</v>
      </c>
      <c r="H137" s="5">
        <f>_xlfn.XLOOKUP(A137,Planilha1!H:H,Planilha1!L:L)</f>
        <v>5.8000000000000003E-2</v>
      </c>
      <c r="I137">
        <f>_xlfn.XLOOKUP(A137,Planilha1!H:H,Planilha1!M:M)</f>
        <v>1.27</v>
      </c>
      <c r="J137" s="1">
        <f t="shared" si="10"/>
        <v>236.48275862068965</v>
      </c>
      <c r="K137" t="str">
        <f t="shared" si="11"/>
        <v>PUCRJ Collab_46189</v>
      </c>
    </row>
    <row r="138" spans="1:11" x14ac:dyDescent="0.25">
      <c r="A138" t="s">
        <v>8</v>
      </c>
      <c r="B138" s="3">
        <v>46190</v>
      </c>
      <c r="C138">
        <v>12</v>
      </c>
      <c r="D138" s="5">
        <f>_xlfn.XLOOKUP(A138,Planilha1!H:H,Planilha1!J:J)</f>
        <v>0.9</v>
      </c>
      <c r="E138" s="1">
        <f t="shared" si="9"/>
        <v>10.8</v>
      </c>
      <c r="F138">
        <f>_xlfn.XLOOKUP(A138,Planilha1!H:H,Planilha1!K:K)</f>
        <v>5</v>
      </c>
      <c r="G138" s="1">
        <f t="shared" si="8"/>
        <v>0.46296296296296291</v>
      </c>
      <c r="H138" s="5">
        <f>_xlfn.XLOOKUP(A138,Planilha1!H:H,Planilha1!L:L)</f>
        <v>5.8000000000000003E-2</v>
      </c>
      <c r="I138">
        <f>_xlfn.XLOOKUP(A138,Planilha1!H:H,Planilha1!M:M)</f>
        <v>1.27</v>
      </c>
      <c r="J138" s="1">
        <f t="shared" si="10"/>
        <v>236.48275862068965</v>
      </c>
      <c r="K138" t="str">
        <f t="shared" si="11"/>
        <v>PUCRJ Collab_46190</v>
      </c>
    </row>
    <row r="139" spans="1:11" x14ac:dyDescent="0.25">
      <c r="A139" t="s">
        <v>8</v>
      </c>
      <c r="B139" s="3">
        <v>46191</v>
      </c>
      <c r="C139">
        <v>13</v>
      </c>
      <c r="D139" s="5">
        <f>_xlfn.XLOOKUP(A139,Planilha1!H:H,Planilha1!J:J)</f>
        <v>0.9</v>
      </c>
      <c r="E139" s="1">
        <f t="shared" si="9"/>
        <v>11.700000000000001</v>
      </c>
      <c r="F139">
        <f>_xlfn.XLOOKUP(A139,Planilha1!H:H,Planilha1!K:K)</f>
        <v>5</v>
      </c>
      <c r="G139" s="1">
        <f t="shared" si="8"/>
        <v>0.42735042735042733</v>
      </c>
      <c r="H139" s="5">
        <f>_xlfn.XLOOKUP(A139,Planilha1!H:H,Planilha1!L:L)</f>
        <v>5.8000000000000003E-2</v>
      </c>
      <c r="I139">
        <f>_xlfn.XLOOKUP(A139,Planilha1!H:H,Planilha1!M:M)</f>
        <v>1.27</v>
      </c>
      <c r="J139" s="1">
        <f t="shared" si="10"/>
        <v>256.18965517241378</v>
      </c>
      <c r="K139" t="str">
        <f t="shared" si="11"/>
        <v>PUCRJ Collab_46191</v>
      </c>
    </row>
    <row r="140" spans="1:11" x14ac:dyDescent="0.25">
      <c r="A140" t="s">
        <v>8</v>
      </c>
      <c r="B140" s="3">
        <v>46192</v>
      </c>
      <c r="C140">
        <v>13</v>
      </c>
      <c r="D140" s="5">
        <f>_xlfn.XLOOKUP(A140,Planilha1!H:H,Planilha1!J:J)</f>
        <v>0.9</v>
      </c>
      <c r="E140" s="1">
        <f t="shared" si="9"/>
        <v>11.700000000000001</v>
      </c>
      <c r="F140">
        <f>_xlfn.XLOOKUP(A140,Planilha1!H:H,Planilha1!K:K)</f>
        <v>5</v>
      </c>
      <c r="G140" s="1">
        <f t="shared" si="8"/>
        <v>0.42735042735042733</v>
      </c>
      <c r="H140" s="5">
        <f>_xlfn.XLOOKUP(A140,Planilha1!H:H,Planilha1!L:L)</f>
        <v>5.8000000000000003E-2</v>
      </c>
      <c r="I140">
        <f>_xlfn.XLOOKUP(A140,Planilha1!H:H,Planilha1!M:M)</f>
        <v>1.27</v>
      </c>
      <c r="J140" s="1">
        <f t="shared" si="10"/>
        <v>256.18965517241378</v>
      </c>
      <c r="K140" t="str">
        <f t="shared" si="11"/>
        <v>PUCRJ Collab_46192</v>
      </c>
    </row>
    <row r="141" spans="1:11" x14ac:dyDescent="0.25">
      <c r="A141" t="s">
        <v>8</v>
      </c>
      <c r="B141" s="3">
        <v>46193</v>
      </c>
      <c r="C141">
        <v>0</v>
      </c>
      <c r="D141" s="5">
        <f>_xlfn.XLOOKUP(A141,Planilha1!H:H,Planilha1!J:J)</f>
        <v>0.9</v>
      </c>
      <c r="E141" s="1">
        <f t="shared" si="9"/>
        <v>0</v>
      </c>
      <c r="F141">
        <f>_xlfn.XLOOKUP(A141,Planilha1!H:H,Planilha1!K:K)</f>
        <v>5</v>
      </c>
      <c r="G141" s="1">
        <f t="shared" si="8"/>
        <v>0</v>
      </c>
      <c r="H141" s="5">
        <f>_xlfn.XLOOKUP(A141,Planilha1!H:H,Planilha1!L:L)</f>
        <v>5.8000000000000003E-2</v>
      </c>
      <c r="I141">
        <f>_xlfn.XLOOKUP(A141,Planilha1!H:H,Planilha1!M:M)</f>
        <v>1.27</v>
      </c>
      <c r="J141" s="1">
        <f t="shared" si="10"/>
        <v>0</v>
      </c>
      <c r="K141" t="str">
        <f t="shared" si="11"/>
        <v>PUCRJ Collab_46193</v>
      </c>
    </row>
    <row r="142" spans="1:11" x14ac:dyDescent="0.25">
      <c r="A142" t="s">
        <v>8</v>
      </c>
      <c r="B142" s="3">
        <v>46194</v>
      </c>
      <c r="C142">
        <v>0</v>
      </c>
      <c r="D142" s="5">
        <f>_xlfn.XLOOKUP(A142,Planilha1!H:H,Planilha1!J:J)</f>
        <v>0.9</v>
      </c>
      <c r="E142" s="1">
        <f t="shared" si="9"/>
        <v>0</v>
      </c>
      <c r="F142">
        <f>_xlfn.XLOOKUP(A142,Planilha1!H:H,Planilha1!K:K)</f>
        <v>5</v>
      </c>
      <c r="G142" s="1">
        <f t="shared" si="8"/>
        <v>0</v>
      </c>
      <c r="H142" s="5">
        <f>_xlfn.XLOOKUP(A142,Planilha1!H:H,Planilha1!L:L)</f>
        <v>5.8000000000000003E-2</v>
      </c>
      <c r="I142">
        <f>_xlfn.XLOOKUP(A142,Planilha1!H:H,Planilha1!M:M)</f>
        <v>1.27</v>
      </c>
      <c r="J142" s="1">
        <f t="shared" si="10"/>
        <v>0</v>
      </c>
      <c r="K142" t="str">
        <f t="shared" si="11"/>
        <v>PUCRJ Collab_46194</v>
      </c>
    </row>
    <row r="143" spans="1:11" x14ac:dyDescent="0.25">
      <c r="A143" t="s">
        <v>8</v>
      </c>
      <c r="B143" s="3">
        <v>46195</v>
      </c>
      <c r="C143">
        <v>14</v>
      </c>
      <c r="D143" s="5">
        <f>_xlfn.XLOOKUP(A143,Planilha1!H:H,Planilha1!J:J)</f>
        <v>0.9</v>
      </c>
      <c r="E143" s="1">
        <f t="shared" si="9"/>
        <v>12.6</v>
      </c>
      <c r="F143">
        <f>_xlfn.XLOOKUP(A143,Planilha1!H:H,Planilha1!K:K)</f>
        <v>5</v>
      </c>
      <c r="G143" s="1">
        <f t="shared" si="8"/>
        <v>0.39682539682539686</v>
      </c>
      <c r="H143" s="5">
        <f>_xlfn.XLOOKUP(A143,Planilha1!H:H,Planilha1!L:L)</f>
        <v>5.8000000000000003E-2</v>
      </c>
      <c r="I143">
        <f>_xlfn.XLOOKUP(A143,Planilha1!H:H,Planilha1!M:M)</f>
        <v>1.27</v>
      </c>
      <c r="J143" s="1">
        <f t="shared" si="10"/>
        <v>275.89655172413791</v>
      </c>
      <c r="K143" t="str">
        <f t="shared" si="11"/>
        <v>PUCRJ Collab_46195</v>
      </c>
    </row>
    <row r="144" spans="1:11" x14ac:dyDescent="0.25">
      <c r="A144" t="s">
        <v>8</v>
      </c>
      <c r="B144" s="3">
        <v>46196</v>
      </c>
      <c r="C144">
        <v>14</v>
      </c>
      <c r="D144" s="5">
        <f>_xlfn.XLOOKUP(A144,Planilha1!H:H,Planilha1!J:J)</f>
        <v>0.9</v>
      </c>
      <c r="E144" s="1">
        <f t="shared" si="9"/>
        <v>12.6</v>
      </c>
      <c r="F144">
        <f>_xlfn.XLOOKUP(A144,Planilha1!H:H,Planilha1!K:K)</f>
        <v>5</v>
      </c>
      <c r="G144" s="1">
        <f t="shared" si="8"/>
        <v>0.39682539682539686</v>
      </c>
      <c r="H144" s="5">
        <f>_xlfn.XLOOKUP(A144,Planilha1!H:H,Planilha1!L:L)</f>
        <v>5.8000000000000003E-2</v>
      </c>
      <c r="I144">
        <f>_xlfn.XLOOKUP(A144,Planilha1!H:H,Planilha1!M:M)</f>
        <v>1.27</v>
      </c>
      <c r="J144" s="1">
        <f t="shared" si="10"/>
        <v>275.89655172413791</v>
      </c>
      <c r="K144" t="str">
        <f t="shared" si="11"/>
        <v>PUCRJ Collab_46196</v>
      </c>
    </row>
    <row r="145" spans="1:11" x14ac:dyDescent="0.25">
      <c r="A145" t="s">
        <v>8</v>
      </c>
      <c r="B145" s="3">
        <v>46197</v>
      </c>
      <c r="C145">
        <v>10</v>
      </c>
      <c r="D145" s="5">
        <f>_xlfn.XLOOKUP(A145,Planilha1!H:H,Planilha1!J:J)</f>
        <v>0.9</v>
      </c>
      <c r="E145" s="1">
        <f t="shared" si="9"/>
        <v>9</v>
      </c>
      <c r="F145">
        <f>_xlfn.XLOOKUP(A145,Planilha1!H:H,Planilha1!K:K)</f>
        <v>5</v>
      </c>
      <c r="G145" s="1">
        <f t="shared" si="8"/>
        <v>0.55555555555555558</v>
      </c>
      <c r="H145" s="5">
        <f>_xlfn.XLOOKUP(A145,Planilha1!H:H,Planilha1!L:L)</f>
        <v>5.8000000000000003E-2</v>
      </c>
      <c r="I145">
        <f>_xlfn.XLOOKUP(A145,Planilha1!H:H,Planilha1!M:M)</f>
        <v>1.27</v>
      </c>
      <c r="J145" s="1">
        <f t="shared" si="10"/>
        <v>197.06896551724137</v>
      </c>
      <c r="K145" t="str">
        <f t="shared" si="11"/>
        <v>PUCRJ Collab_46197</v>
      </c>
    </row>
    <row r="146" spans="1:11" x14ac:dyDescent="0.25">
      <c r="A146" t="s">
        <v>8</v>
      </c>
      <c r="B146" s="3">
        <v>46198</v>
      </c>
      <c r="C146">
        <v>14</v>
      </c>
      <c r="D146" s="5">
        <f>_xlfn.XLOOKUP(A146,Planilha1!H:H,Planilha1!J:J)</f>
        <v>0.9</v>
      </c>
      <c r="E146" s="1">
        <f t="shared" si="9"/>
        <v>12.6</v>
      </c>
      <c r="F146">
        <f>_xlfn.XLOOKUP(A146,Planilha1!H:H,Planilha1!K:K)</f>
        <v>5</v>
      </c>
      <c r="G146" s="1">
        <f t="shared" si="8"/>
        <v>0.39682539682539686</v>
      </c>
      <c r="H146" s="5">
        <f>_xlfn.XLOOKUP(A146,Planilha1!H:H,Planilha1!L:L)</f>
        <v>5.8000000000000003E-2</v>
      </c>
      <c r="I146">
        <f>_xlfn.XLOOKUP(A146,Planilha1!H:H,Planilha1!M:M)</f>
        <v>1.27</v>
      </c>
      <c r="J146" s="1">
        <f t="shared" si="10"/>
        <v>275.89655172413791</v>
      </c>
      <c r="K146" t="str">
        <f t="shared" si="11"/>
        <v>PUCRJ Collab_46198</v>
      </c>
    </row>
    <row r="147" spans="1:11" x14ac:dyDescent="0.25">
      <c r="A147" t="s">
        <v>8</v>
      </c>
      <c r="B147" s="3">
        <v>46199</v>
      </c>
      <c r="C147">
        <v>14</v>
      </c>
      <c r="D147" s="5">
        <f>_xlfn.XLOOKUP(A147,Planilha1!H:H,Planilha1!J:J)</f>
        <v>0.9</v>
      </c>
      <c r="E147" s="1">
        <f t="shared" si="9"/>
        <v>12.6</v>
      </c>
      <c r="F147">
        <f>_xlfn.XLOOKUP(A147,Planilha1!H:H,Planilha1!K:K)</f>
        <v>5</v>
      </c>
      <c r="G147" s="1">
        <f t="shared" si="8"/>
        <v>0.39682539682539686</v>
      </c>
      <c r="H147" s="5">
        <f>_xlfn.XLOOKUP(A147,Planilha1!H:H,Planilha1!L:L)</f>
        <v>5.8000000000000003E-2</v>
      </c>
      <c r="I147">
        <f>_xlfn.XLOOKUP(A147,Planilha1!H:H,Planilha1!M:M)</f>
        <v>1.27</v>
      </c>
      <c r="J147" s="1">
        <f t="shared" si="10"/>
        <v>275.89655172413791</v>
      </c>
      <c r="K147" t="str">
        <f t="shared" si="11"/>
        <v>PUCRJ Collab_46199</v>
      </c>
    </row>
    <row r="148" spans="1:11" x14ac:dyDescent="0.25">
      <c r="A148" t="s">
        <v>8</v>
      </c>
      <c r="B148" s="3">
        <v>46200</v>
      </c>
      <c r="C148">
        <v>2</v>
      </c>
      <c r="D148" s="5">
        <f>_xlfn.XLOOKUP(A148,Planilha1!H:H,Planilha1!J:J)</f>
        <v>0.9</v>
      </c>
      <c r="E148" s="1">
        <f t="shared" si="9"/>
        <v>1.8</v>
      </c>
      <c r="F148">
        <f>_xlfn.XLOOKUP(A148,Planilha1!H:H,Planilha1!K:K)</f>
        <v>5</v>
      </c>
      <c r="G148" s="1">
        <f t="shared" si="8"/>
        <v>2.7777777777777777</v>
      </c>
      <c r="H148" s="5">
        <f>_xlfn.XLOOKUP(A148,Planilha1!H:H,Planilha1!L:L)</f>
        <v>5.8000000000000003E-2</v>
      </c>
      <c r="I148">
        <f>_xlfn.XLOOKUP(A148,Planilha1!H:H,Planilha1!M:M)</f>
        <v>1.27</v>
      </c>
      <c r="J148" s="1">
        <f t="shared" si="10"/>
        <v>39.413793103448278</v>
      </c>
      <c r="K148" t="str">
        <f t="shared" si="11"/>
        <v>PUCRJ Collab_46200</v>
      </c>
    </row>
    <row r="149" spans="1:11" x14ac:dyDescent="0.25">
      <c r="A149" t="s">
        <v>8</v>
      </c>
      <c r="B149" s="3">
        <v>46201</v>
      </c>
      <c r="C149">
        <v>0</v>
      </c>
      <c r="D149" s="5">
        <f>_xlfn.XLOOKUP(A149,Planilha1!H:H,Planilha1!J:J)</f>
        <v>0.9</v>
      </c>
      <c r="E149" s="1">
        <f t="shared" si="9"/>
        <v>0</v>
      </c>
      <c r="F149">
        <f>_xlfn.XLOOKUP(A149,Planilha1!H:H,Planilha1!K:K)</f>
        <v>5</v>
      </c>
      <c r="G149" s="1">
        <f t="shared" si="8"/>
        <v>0</v>
      </c>
      <c r="H149" s="5">
        <f>_xlfn.XLOOKUP(A149,Planilha1!H:H,Planilha1!L:L)</f>
        <v>5.8000000000000003E-2</v>
      </c>
      <c r="I149">
        <f>_xlfn.XLOOKUP(A149,Planilha1!H:H,Planilha1!M:M)</f>
        <v>1.27</v>
      </c>
      <c r="J149" s="1">
        <f t="shared" si="10"/>
        <v>0</v>
      </c>
      <c r="K149" t="str">
        <f t="shared" si="11"/>
        <v>PUCRJ Collab_46201</v>
      </c>
    </row>
    <row r="150" spans="1:11" x14ac:dyDescent="0.25">
      <c r="A150" t="s">
        <v>8</v>
      </c>
      <c r="B150" s="3">
        <v>46202</v>
      </c>
      <c r="C150">
        <v>12</v>
      </c>
      <c r="D150" s="5">
        <f>_xlfn.XLOOKUP(A150,Planilha1!H:H,Planilha1!J:J)</f>
        <v>0.9</v>
      </c>
      <c r="E150" s="1">
        <f t="shared" si="9"/>
        <v>10.8</v>
      </c>
      <c r="F150">
        <f>_xlfn.XLOOKUP(A150,Planilha1!H:H,Planilha1!K:K)</f>
        <v>5</v>
      </c>
      <c r="G150" s="1">
        <f t="shared" si="8"/>
        <v>0.46296296296296291</v>
      </c>
      <c r="H150" s="5">
        <f>_xlfn.XLOOKUP(A150,Planilha1!H:H,Planilha1!L:L)</f>
        <v>5.8000000000000003E-2</v>
      </c>
      <c r="I150">
        <f>_xlfn.XLOOKUP(A150,Planilha1!H:H,Planilha1!M:M)</f>
        <v>1.27</v>
      </c>
      <c r="J150" s="1">
        <f t="shared" si="10"/>
        <v>236.48275862068965</v>
      </c>
      <c r="K150" t="str">
        <f t="shared" si="11"/>
        <v>PUCRJ Collab_46202</v>
      </c>
    </row>
    <row r="151" spans="1:11" x14ac:dyDescent="0.25">
      <c r="A151" t="s">
        <v>8</v>
      </c>
      <c r="B151" s="3">
        <v>46203</v>
      </c>
      <c r="C151">
        <v>13</v>
      </c>
      <c r="D151" s="5">
        <f>_xlfn.XLOOKUP(A151,Planilha1!H:H,Planilha1!J:J)</f>
        <v>0.9</v>
      </c>
      <c r="E151" s="1">
        <f t="shared" si="9"/>
        <v>11.700000000000001</v>
      </c>
      <c r="F151">
        <f>_xlfn.XLOOKUP(A151,Planilha1!H:H,Planilha1!K:K)</f>
        <v>5</v>
      </c>
      <c r="G151" s="1">
        <f t="shared" si="8"/>
        <v>0.42735042735042733</v>
      </c>
      <c r="H151" s="5">
        <f>_xlfn.XLOOKUP(A151,Planilha1!H:H,Planilha1!L:L)</f>
        <v>5.8000000000000003E-2</v>
      </c>
      <c r="I151">
        <f>_xlfn.XLOOKUP(A151,Planilha1!H:H,Planilha1!M:M)</f>
        <v>1.27</v>
      </c>
      <c r="J151" s="1">
        <f t="shared" si="10"/>
        <v>256.18965517241378</v>
      </c>
      <c r="K151" t="str">
        <f t="shared" si="11"/>
        <v>PUCRJ Collab_46203</v>
      </c>
    </row>
    <row r="152" spans="1:11" x14ac:dyDescent="0.25">
      <c r="A152" t="s">
        <v>1</v>
      </c>
      <c r="B152" s="3">
        <v>46174</v>
      </c>
      <c r="C152">
        <v>4</v>
      </c>
      <c r="D152" s="5">
        <f>_xlfn.XLOOKUP(A152,Planilha1!H:H,Planilha1!J:J)</f>
        <v>0.9</v>
      </c>
      <c r="E152" s="1">
        <f t="shared" si="9"/>
        <v>3.6</v>
      </c>
      <c r="F152">
        <f>_xlfn.XLOOKUP(A152,Planilha1!H:H,Planilha1!K:K)</f>
        <v>2</v>
      </c>
      <c r="G152" s="1">
        <f t="shared" si="8"/>
        <v>0.55555555555555558</v>
      </c>
      <c r="H152" s="5">
        <f>_xlfn.XLOOKUP(A152,Planilha1!H:H,Planilha1!L:L)</f>
        <v>6.7000000000000004E-2</v>
      </c>
      <c r="I152">
        <f>_xlfn.XLOOKUP(A152,Planilha1!H:H,Planilha1!M:M)</f>
        <v>1.29</v>
      </c>
      <c r="J152" s="1">
        <f t="shared" si="10"/>
        <v>69.31343283582089</v>
      </c>
      <c r="K152" t="str">
        <f t="shared" si="11"/>
        <v>ESPM_46174</v>
      </c>
    </row>
    <row r="153" spans="1:11" x14ac:dyDescent="0.25">
      <c r="A153" t="s">
        <v>1</v>
      </c>
      <c r="B153" s="3">
        <v>46175</v>
      </c>
      <c r="C153">
        <v>4</v>
      </c>
      <c r="D153" s="5">
        <f>_xlfn.XLOOKUP(A153,Planilha1!H:H,Planilha1!J:J)</f>
        <v>0.9</v>
      </c>
      <c r="E153" s="1">
        <f t="shared" si="9"/>
        <v>3.6</v>
      </c>
      <c r="F153">
        <f>_xlfn.XLOOKUP(A153,Planilha1!H:H,Planilha1!K:K)</f>
        <v>2</v>
      </c>
      <c r="G153" s="1">
        <f t="shared" si="8"/>
        <v>0.55555555555555558</v>
      </c>
      <c r="H153" s="5">
        <f>_xlfn.XLOOKUP(A153,Planilha1!H:H,Planilha1!L:L)</f>
        <v>6.7000000000000004E-2</v>
      </c>
      <c r="I153">
        <f>_xlfn.XLOOKUP(A153,Planilha1!H:H,Planilha1!M:M)</f>
        <v>1.29</v>
      </c>
      <c r="J153" s="1">
        <f t="shared" si="10"/>
        <v>69.31343283582089</v>
      </c>
      <c r="K153" t="str">
        <f t="shared" si="11"/>
        <v>ESPM_46175</v>
      </c>
    </row>
    <row r="154" spans="1:11" x14ac:dyDescent="0.25">
      <c r="A154" t="s">
        <v>1</v>
      </c>
      <c r="B154" s="3">
        <v>46176</v>
      </c>
      <c r="C154">
        <v>4</v>
      </c>
      <c r="D154" s="5">
        <f>_xlfn.XLOOKUP(A154,Planilha1!H:H,Planilha1!J:J)</f>
        <v>0.9</v>
      </c>
      <c r="E154" s="1">
        <f t="shared" si="9"/>
        <v>3.6</v>
      </c>
      <c r="F154">
        <f>_xlfn.XLOOKUP(A154,Planilha1!H:H,Planilha1!K:K)</f>
        <v>2</v>
      </c>
      <c r="G154" s="1">
        <f t="shared" si="8"/>
        <v>0.55555555555555558</v>
      </c>
      <c r="H154" s="5">
        <f>_xlfn.XLOOKUP(A154,Planilha1!H:H,Planilha1!L:L)</f>
        <v>6.7000000000000004E-2</v>
      </c>
      <c r="I154">
        <f>_xlfn.XLOOKUP(A154,Planilha1!H:H,Planilha1!M:M)</f>
        <v>1.29</v>
      </c>
      <c r="J154" s="1">
        <f t="shared" si="10"/>
        <v>69.31343283582089</v>
      </c>
      <c r="K154" t="str">
        <f t="shared" si="11"/>
        <v>ESPM_46176</v>
      </c>
    </row>
    <row r="155" spans="1:11" x14ac:dyDescent="0.25">
      <c r="A155" t="s">
        <v>1</v>
      </c>
      <c r="B155" s="3">
        <v>46177</v>
      </c>
      <c r="C155">
        <v>0</v>
      </c>
      <c r="D155" s="5">
        <f>_xlfn.XLOOKUP(A155,Planilha1!H:H,Planilha1!J:J)</f>
        <v>0.9</v>
      </c>
      <c r="E155" s="1">
        <f t="shared" si="9"/>
        <v>0</v>
      </c>
      <c r="F155">
        <f>_xlfn.XLOOKUP(A155,Planilha1!H:H,Planilha1!K:K)</f>
        <v>2</v>
      </c>
      <c r="G155" s="1">
        <f t="shared" si="8"/>
        <v>0</v>
      </c>
      <c r="H155" s="5">
        <f>_xlfn.XLOOKUP(A155,Planilha1!H:H,Planilha1!L:L)</f>
        <v>6.7000000000000004E-2</v>
      </c>
      <c r="I155">
        <f>_xlfn.XLOOKUP(A155,Planilha1!H:H,Planilha1!M:M)</f>
        <v>1.29</v>
      </c>
      <c r="J155" s="1">
        <f t="shared" si="10"/>
        <v>0</v>
      </c>
      <c r="K155" t="str">
        <f t="shared" si="11"/>
        <v>ESPM_46177</v>
      </c>
    </row>
    <row r="156" spans="1:11" x14ac:dyDescent="0.25">
      <c r="A156" t="s">
        <v>1</v>
      </c>
      <c r="B156" s="3">
        <v>46178</v>
      </c>
      <c r="C156">
        <v>1</v>
      </c>
      <c r="D156" s="5">
        <f>_xlfn.XLOOKUP(A156,Planilha1!H:H,Planilha1!J:J)</f>
        <v>0.9</v>
      </c>
      <c r="E156" s="1">
        <f t="shared" si="9"/>
        <v>0.9</v>
      </c>
      <c r="F156">
        <f>_xlfn.XLOOKUP(A156,Planilha1!H:H,Planilha1!K:K)</f>
        <v>2</v>
      </c>
      <c r="G156" s="1">
        <f t="shared" si="8"/>
        <v>2.2222222222222223</v>
      </c>
      <c r="H156" s="5">
        <f>_xlfn.XLOOKUP(A156,Planilha1!H:H,Planilha1!L:L)</f>
        <v>6.7000000000000004E-2</v>
      </c>
      <c r="I156">
        <f>_xlfn.XLOOKUP(A156,Planilha1!H:H,Planilha1!M:M)</f>
        <v>1.29</v>
      </c>
      <c r="J156" s="1">
        <f t="shared" si="10"/>
        <v>17.328358208955223</v>
      </c>
      <c r="K156" t="str">
        <f t="shared" si="11"/>
        <v>ESPM_46178</v>
      </c>
    </row>
    <row r="157" spans="1:11" x14ac:dyDescent="0.25">
      <c r="A157" t="s">
        <v>1</v>
      </c>
      <c r="B157" s="3">
        <v>46179</v>
      </c>
      <c r="C157">
        <v>0</v>
      </c>
      <c r="D157" s="5">
        <f>_xlfn.XLOOKUP(A157,Planilha1!H:H,Planilha1!J:J)</f>
        <v>0.9</v>
      </c>
      <c r="E157" s="1">
        <f t="shared" si="9"/>
        <v>0</v>
      </c>
      <c r="F157">
        <f>_xlfn.XLOOKUP(A157,Planilha1!H:H,Planilha1!K:K)</f>
        <v>2</v>
      </c>
      <c r="G157" s="1">
        <f t="shared" si="8"/>
        <v>0</v>
      </c>
      <c r="H157" s="5">
        <f>_xlfn.XLOOKUP(A157,Planilha1!H:H,Planilha1!L:L)</f>
        <v>6.7000000000000004E-2</v>
      </c>
      <c r="I157">
        <f>_xlfn.XLOOKUP(A157,Planilha1!H:H,Planilha1!M:M)</f>
        <v>1.29</v>
      </c>
      <c r="J157" s="1">
        <f t="shared" si="10"/>
        <v>0</v>
      </c>
      <c r="K157" t="str">
        <f t="shared" si="11"/>
        <v>ESPM_46179</v>
      </c>
    </row>
    <row r="158" spans="1:11" x14ac:dyDescent="0.25">
      <c r="A158" t="s">
        <v>1</v>
      </c>
      <c r="B158" s="3">
        <v>46180</v>
      </c>
      <c r="C158">
        <v>0</v>
      </c>
      <c r="D158" s="5">
        <f>_xlfn.XLOOKUP(A158,Planilha1!H:H,Planilha1!J:J)</f>
        <v>0.9</v>
      </c>
      <c r="E158" s="1">
        <f t="shared" si="9"/>
        <v>0</v>
      </c>
      <c r="F158">
        <f>_xlfn.XLOOKUP(A158,Planilha1!H:H,Planilha1!K:K)</f>
        <v>2</v>
      </c>
      <c r="G158" s="1">
        <f t="shared" si="8"/>
        <v>0</v>
      </c>
      <c r="H158" s="5">
        <f>_xlfn.XLOOKUP(A158,Planilha1!H:H,Planilha1!L:L)</f>
        <v>6.7000000000000004E-2</v>
      </c>
      <c r="I158">
        <f>_xlfn.XLOOKUP(A158,Planilha1!H:H,Planilha1!M:M)</f>
        <v>1.29</v>
      </c>
      <c r="J158" s="1">
        <f t="shared" si="10"/>
        <v>0</v>
      </c>
      <c r="K158" t="str">
        <f t="shared" si="11"/>
        <v>ESPM_46180</v>
      </c>
    </row>
    <row r="159" spans="1:11" x14ac:dyDescent="0.25">
      <c r="A159" t="s">
        <v>1</v>
      </c>
      <c r="B159" s="3">
        <v>46181</v>
      </c>
      <c r="C159">
        <v>4</v>
      </c>
      <c r="D159" s="5">
        <f>_xlfn.XLOOKUP(A159,Planilha1!H:H,Planilha1!J:J)</f>
        <v>0.9</v>
      </c>
      <c r="E159" s="1">
        <f t="shared" si="9"/>
        <v>3.6</v>
      </c>
      <c r="F159">
        <f>_xlfn.XLOOKUP(A159,Planilha1!H:H,Planilha1!K:K)</f>
        <v>2</v>
      </c>
      <c r="G159" s="1">
        <f t="shared" si="8"/>
        <v>0.55555555555555558</v>
      </c>
      <c r="H159" s="5">
        <f>_xlfn.XLOOKUP(A159,Planilha1!H:H,Planilha1!L:L)</f>
        <v>6.7000000000000004E-2</v>
      </c>
      <c r="I159">
        <f>_xlfn.XLOOKUP(A159,Planilha1!H:H,Planilha1!M:M)</f>
        <v>1.29</v>
      </c>
      <c r="J159" s="1">
        <f t="shared" si="10"/>
        <v>69.31343283582089</v>
      </c>
      <c r="K159" t="str">
        <f t="shared" si="11"/>
        <v>ESPM_46181</v>
      </c>
    </row>
    <row r="160" spans="1:11" x14ac:dyDescent="0.25">
      <c r="A160" t="s">
        <v>1</v>
      </c>
      <c r="B160" s="3">
        <v>46182</v>
      </c>
      <c r="C160">
        <v>4</v>
      </c>
      <c r="D160" s="5">
        <f>_xlfn.XLOOKUP(A160,Planilha1!H:H,Planilha1!J:J)</f>
        <v>0.9</v>
      </c>
      <c r="E160" s="1">
        <f t="shared" si="9"/>
        <v>3.6</v>
      </c>
      <c r="F160">
        <f>_xlfn.XLOOKUP(A160,Planilha1!H:H,Planilha1!K:K)</f>
        <v>2</v>
      </c>
      <c r="G160" s="1">
        <f t="shared" si="8"/>
        <v>0.55555555555555558</v>
      </c>
      <c r="H160" s="5">
        <f>_xlfn.XLOOKUP(A160,Planilha1!H:H,Planilha1!L:L)</f>
        <v>6.7000000000000004E-2</v>
      </c>
      <c r="I160">
        <f>_xlfn.XLOOKUP(A160,Planilha1!H:H,Planilha1!M:M)</f>
        <v>1.29</v>
      </c>
      <c r="J160" s="1">
        <f t="shared" si="10"/>
        <v>69.31343283582089</v>
      </c>
      <c r="K160" t="str">
        <f t="shared" si="11"/>
        <v>ESPM_46182</v>
      </c>
    </row>
    <row r="161" spans="1:11" x14ac:dyDescent="0.25">
      <c r="A161" t="s">
        <v>1</v>
      </c>
      <c r="B161" s="3">
        <v>46183</v>
      </c>
      <c r="C161">
        <v>3</v>
      </c>
      <c r="D161" s="5">
        <f>_xlfn.XLOOKUP(A161,Planilha1!H:H,Planilha1!J:J)</f>
        <v>0.9</v>
      </c>
      <c r="E161" s="1">
        <f t="shared" si="9"/>
        <v>2.7</v>
      </c>
      <c r="F161">
        <f>_xlfn.XLOOKUP(A161,Planilha1!H:H,Planilha1!K:K)</f>
        <v>2</v>
      </c>
      <c r="G161" s="1">
        <f t="shared" si="8"/>
        <v>0.7407407407407407</v>
      </c>
      <c r="H161" s="5">
        <f>_xlfn.XLOOKUP(A161,Planilha1!H:H,Planilha1!L:L)</f>
        <v>6.7000000000000004E-2</v>
      </c>
      <c r="I161">
        <f>_xlfn.XLOOKUP(A161,Planilha1!H:H,Planilha1!M:M)</f>
        <v>1.29</v>
      </c>
      <c r="J161" s="1">
        <f t="shared" si="10"/>
        <v>51.985074626865668</v>
      </c>
      <c r="K161" t="str">
        <f t="shared" si="11"/>
        <v>ESPM_46183</v>
      </c>
    </row>
    <row r="162" spans="1:11" x14ac:dyDescent="0.25">
      <c r="A162" t="s">
        <v>1</v>
      </c>
      <c r="B162" s="3">
        <v>46184</v>
      </c>
      <c r="C162">
        <v>3</v>
      </c>
      <c r="D162" s="5">
        <f>_xlfn.XLOOKUP(A162,Planilha1!H:H,Planilha1!J:J)</f>
        <v>0.9</v>
      </c>
      <c r="E162" s="1">
        <f t="shared" si="9"/>
        <v>2.7</v>
      </c>
      <c r="F162">
        <f>_xlfn.XLOOKUP(A162,Planilha1!H:H,Planilha1!K:K)</f>
        <v>2</v>
      </c>
      <c r="G162" s="1">
        <f t="shared" si="8"/>
        <v>0.7407407407407407</v>
      </c>
      <c r="H162" s="5">
        <f>_xlfn.XLOOKUP(A162,Planilha1!H:H,Planilha1!L:L)</f>
        <v>6.7000000000000004E-2</v>
      </c>
      <c r="I162">
        <f>_xlfn.XLOOKUP(A162,Planilha1!H:H,Planilha1!M:M)</f>
        <v>1.29</v>
      </c>
      <c r="J162" s="1">
        <f t="shared" si="10"/>
        <v>51.985074626865668</v>
      </c>
      <c r="K162" t="str">
        <f t="shared" si="11"/>
        <v>ESPM_46184</v>
      </c>
    </row>
    <row r="163" spans="1:11" x14ac:dyDescent="0.25">
      <c r="A163" t="s">
        <v>1</v>
      </c>
      <c r="B163" s="3">
        <v>46185</v>
      </c>
      <c r="C163">
        <v>2</v>
      </c>
      <c r="D163" s="5">
        <f>_xlfn.XLOOKUP(A163,Planilha1!H:H,Planilha1!J:J)</f>
        <v>0.9</v>
      </c>
      <c r="E163" s="1">
        <f t="shared" si="9"/>
        <v>1.8</v>
      </c>
      <c r="F163">
        <f>_xlfn.XLOOKUP(A163,Planilha1!H:H,Planilha1!K:K)</f>
        <v>2</v>
      </c>
      <c r="G163" s="1">
        <f t="shared" si="8"/>
        <v>1.1111111111111112</v>
      </c>
      <c r="H163" s="5">
        <f>_xlfn.XLOOKUP(A163,Planilha1!H:H,Planilha1!L:L)</f>
        <v>6.7000000000000004E-2</v>
      </c>
      <c r="I163">
        <f>_xlfn.XLOOKUP(A163,Planilha1!H:H,Planilha1!M:M)</f>
        <v>1.29</v>
      </c>
      <c r="J163" s="1">
        <f t="shared" si="10"/>
        <v>34.656716417910445</v>
      </c>
      <c r="K163" t="str">
        <f t="shared" si="11"/>
        <v>ESPM_46185</v>
      </c>
    </row>
    <row r="164" spans="1:11" x14ac:dyDescent="0.25">
      <c r="A164" t="s">
        <v>1</v>
      </c>
      <c r="B164" s="3">
        <v>46186</v>
      </c>
      <c r="C164">
        <v>0</v>
      </c>
      <c r="D164" s="5">
        <f>_xlfn.XLOOKUP(A164,Planilha1!H:H,Planilha1!J:J)</f>
        <v>0.9</v>
      </c>
      <c r="E164" s="1">
        <f t="shared" si="9"/>
        <v>0</v>
      </c>
      <c r="F164">
        <f>_xlfn.XLOOKUP(A164,Planilha1!H:H,Planilha1!K:K)</f>
        <v>2</v>
      </c>
      <c r="G164" s="1">
        <f t="shared" si="8"/>
        <v>0</v>
      </c>
      <c r="H164" s="5">
        <f>_xlfn.XLOOKUP(A164,Planilha1!H:H,Planilha1!L:L)</f>
        <v>6.7000000000000004E-2</v>
      </c>
      <c r="I164">
        <f>_xlfn.XLOOKUP(A164,Planilha1!H:H,Planilha1!M:M)</f>
        <v>1.29</v>
      </c>
      <c r="J164" s="1">
        <f t="shared" si="10"/>
        <v>0</v>
      </c>
      <c r="K164" t="str">
        <f t="shared" si="11"/>
        <v>ESPM_46186</v>
      </c>
    </row>
    <row r="165" spans="1:11" x14ac:dyDescent="0.25">
      <c r="A165" t="s">
        <v>1</v>
      </c>
      <c r="B165" s="3">
        <v>46187</v>
      </c>
      <c r="C165">
        <v>0</v>
      </c>
      <c r="D165" s="5">
        <f>_xlfn.XLOOKUP(A165,Planilha1!H:H,Planilha1!J:J)</f>
        <v>0.9</v>
      </c>
      <c r="E165" s="1">
        <f t="shared" si="9"/>
        <v>0</v>
      </c>
      <c r="F165">
        <f>_xlfn.XLOOKUP(A165,Planilha1!H:H,Planilha1!K:K)</f>
        <v>2</v>
      </c>
      <c r="G165" s="1">
        <f t="shared" si="8"/>
        <v>0</v>
      </c>
      <c r="H165" s="5">
        <f>_xlfn.XLOOKUP(A165,Planilha1!H:H,Planilha1!L:L)</f>
        <v>6.7000000000000004E-2</v>
      </c>
      <c r="I165">
        <f>_xlfn.XLOOKUP(A165,Planilha1!H:H,Planilha1!M:M)</f>
        <v>1.29</v>
      </c>
      <c r="J165" s="1">
        <f t="shared" si="10"/>
        <v>0</v>
      </c>
      <c r="K165" t="str">
        <f t="shared" si="11"/>
        <v>ESPM_46187</v>
      </c>
    </row>
    <row r="166" spans="1:11" x14ac:dyDescent="0.25">
      <c r="A166" t="s">
        <v>1</v>
      </c>
      <c r="B166" s="3">
        <v>46188</v>
      </c>
      <c r="C166">
        <v>2</v>
      </c>
      <c r="D166" s="5">
        <f>_xlfn.XLOOKUP(A166,Planilha1!H:H,Planilha1!J:J)</f>
        <v>0.9</v>
      </c>
      <c r="E166" s="1">
        <f t="shared" si="9"/>
        <v>1.8</v>
      </c>
      <c r="F166">
        <f>_xlfn.XLOOKUP(A166,Planilha1!H:H,Planilha1!K:K)</f>
        <v>2</v>
      </c>
      <c r="G166" s="1">
        <f t="shared" si="8"/>
        <v>1.1111111111111112</v>
      </c>
      <c r="H166" s="5">
        <f>_xlfn.XLOOKUP(A166,Planilha1!H:H,Planilha1!L:L)</f>
        <v>6.7000000000000004E-2</v>
      </c>
      <c r="I166">
        <f>_xlfn.XLOOKUP(A166,Planilha1!H:H,Planilha1!M:M)</f>
        <v>1.29</v>
      </c>
      <c r="J166" s="1">
        <f t="shared" si="10"/>
        <v>34.656716417910445</v>
      </c>
      <c r="K166" t="str">
        <f t="shared" si="11"/>
        <v>ESPM_46188</v>
      </c>
    </row>
    <row r="167" spans="1:11" x14ac:dyDescent="0.25">
      <c r="A167" t="s">
        <v>1</v>
      </c>
      <c r="B167" s="3">
        <v>46189</v>
      </c>
      <c r="C167">
        <v>2</v>
      </c>
      <c r="D167" s="5">
        <f>_xlfn.XLOOKUP(A167,Planilha1!H:H,Planilha1!J:J)</f>
        <v>0.9</v>
      </c>
      <c r="E167" s="1">
        <f t="shared" si="9"/>
        <v>1.8</v>
      </c>
      <c r="F167">
        <f>_xlfn.XLOOKUP(A167,Planilha1!H:H,Planilha1!K:K)</f>
        <v>2</v>
      </c>
      <c r="G167" s="1">
        <f t="shared" si="8"/>
        <v>1.1111111111111112</v>
      </c>
      <c r="H167" s="5">
        <f>_xlfn.XLOOKUP(A167,Planilha1!H:H,Planilha1!L:L)</f>
        <v>6.7000000000000004E-2</v>
      </c>
      <c r="I167">
        <f>_xlfn.XLOOKUP(A167,Planilha1!H:H,Planilha1!M:M)</f>
        <v>1.29</v>
      </c>
      <c r="J167" s="1">
        <f t="shared" si="10"/>
        <v>34.656716417910445</v>
      </c>
      <c r="K167" t="str">
        <f t="shared" si="11"/>
        <v>ESPM_46189</v>
      </c>
    </row>
    <row r="168" spans="1:11" x14ac:dyDescent="0.25">
      <c r="A168" t="s">
        <v>1</v>
      </c>
      <c r="B168" s="3">
        <v>46190</v>
      </c>
      <c r="C168">
        <v>3</v>
      </c>
      <c r="D168" s="5">
        <f>_xlfn.XLOOKUP(A168,Planilha1!H:H,Planilha1!J:J)</f>
        <v>0.9</v>
      </c>
      <c r="E168" s="1">
        <f t="shared" si="9"/>
        <v>2.7</v>
      </c>
      <c r="F168">
        <f>_xlfn.XLOOKUP(A168,Planilha1!H:H,Planilha1!K:K)</f>
        <v>2</v>
      </c>
      <c r="G168" s="1">
        <f t="shared" si="8"/>
        <v>0.7407407407407407</v>
      </c>
      <c r="H168" s="5">
        <f>_xlfn.XLOOKUP(A168,Planilha1!H:H,Planilha1!L:L)</f>
        <v>6.7000000000000004E-2</v>
      </c>
      <c r="I168">
        <f>_xlfn.XLOOKUP(A168,Planilha1!H:H,Planilha1!M:M)</f>
        <v>1.29</v>
      </c>
      <c r="J168" s="1">
        <f t="shared" si="10"/>
        <v>51.985074626865668</v>
      </c>
      <c r="K168" t="str">
        <f t="shared" si="11"/>
        <v>ESPM_46190</v>
      </c>
    </row>
    <row r="169" spans="1:11" x14ac:dyDescent="0.25">
      <c r="A169" t="s">
        <v>1</v>
      </c>
      <c r="B169" s="3">
        <v>46191</v>
      </c>
      <c r="C169">
        <v>3</v>
      </c>
      <c r="D169" s="5">
        <f>_xlfn.XLOOKUP(A169,Planilha1!H:H,Planilha1!J:J)</f>
        <v>0.9</v>
      </c>
      <c r="E169" s="1">
        <f t="shared" si="9"/>
        <v>2.7</v>
      </c>
      <c r="F169">
        <f>_xlfn.XLOOKUP(A169,Planilha1!H:H,Planilha1!K:K)</f>
        <v>2</v>
      </c>
      <c r="G169" s="1">
        <f t="shared" si="8"/>
        <v>0.7407407407407407</v>
      </c>
      <c r="H169" s="5">
        <f>_xlfn.XLOOKUP(A169,Planilha1!H:H,Planilha1!L:L)</f>
        <v>6.7000000000000004E-2</v>
      </c>
      <c r="I169">
        <f>_xlfn.XLOOKUP(A169,Planilha1!H:H,Planilha1!M:M)</f>
        <v>1.29</v>
      </c>
      <c r="J169" s="1">
        <f t="shared" si="10"/>
        <v>51.985074626865668</v>
      </c>
      <c r="K169" t="str">
        <f t="shared" si="11"/>
        <v>ESPM_46191</v>
      </c>
    </row>
    <row r="170" spans="1:11" x14ac:dyDescent="0.25">
      <c r="A170" t="s">
        <v>1</v>
      </c>
      <c r="B170" s="3">
        <v>46192</v>
      </c>
      <c r="C170">
        <v>3</v>
      </c>
      <c r="D170" s="5">
        <f>_xlfn.XLOOKUP(A170,Planilha1!H:H,Planilha1!J:J)</f>
        <v>0.9</v>
      </c>
      <c r="E170" s="1">
        <f t="shared" si="9"/>
        <v>2.7</v>
      </c>
      <c r="F170">
        <f>_xlfn.XLOOKUP(A170,Planilha1!H:H,Planilha1!K:K)</f>
        <v>2</v>
      </c>
      <c r="G170" s="1">
        <f t="shared" si="8"/>
        <v>0.7407407407407407</v>
      </c>
      <c r="H170" s="5">
        <f>_xlfn.XLOOKUP(A170,Planilha1!H:H,Planilha1!L:L)</f>
        <v>6.7000000000000004E-2</v>
      </c>
      <c r="I170">
        <f>_xlfn.XLOOKUP(A170,Planilha1!H:H,Planilha1!M:M)</f>
        <v>1.29</v>
      </c>
      <c r="J170" s="1">
        <f t="shared" si="10"/>
        <v>51.985074626865668</v>
      </c>
      <c r="K170" t="str">
        <f t="shared" si="11"/>
        <v>ESPM_46192</v>
      </c>
    </row>
    <row r="171" spans="1:11" x14ac:dyDescent="0.25">
      <c r="A171" t="s">
        <v>1</v>
      </c>
      <c r="B171" s="3">
        <v>46193</v>
      </c>
      <c r="C171">
        <v>0</v>
      </c>
      <c r="D171" s="5">
        <f>_xlfn.XLOOKUP(A171,Planilha1!H:H,Planilha1!J:J)</f>
        <v>0.9</v>
      </c>
      <c r="E171" s="1">
        <f t="shared" si="9"/>
        <v>0</v>
      </c>
      <c r="F171">
        <f>_xlfn.XLOOKUP(A171,Planilha1!H:H,Planilha1!K:K)</f>
        <v>2</v>
      </c>
      <c r="G171" s="1">
        <f t="shared" si="8"/>
        <v>0</v>
      </c>
      <c r="H171" s="5">
        <f>_xlfn.XLOOKUP(A171,Planilha1!H:H,Planilha1!L:L)</f>
        <v>6.7000000000000004E-2</v>
      </c>
      <c r="I171">
        <f>_xlfn.XLOOKUP(A171,Planilha1!H:H,Planilha1!M:M)</f>
        <v>1.29</v>
      </c>
      <c r="J171" s="1">
        <f t="shared" si="10"/>
        <v>0</v>
      </c>
      <c r="K171" t="str">
        <f t="shared" si="11"/>
        <v>ESPM_46193</v>
      </c>
    </row>
    <row r="172" spans="1:11" x14ac:dyDescent="0.25">
      <c r="A172" t="s">
        <v>1</v>
      </c>
      <c r="B172" s="3">
        <v>46194</v>
      </c>
      <c r="C172">
        <v>0</v>
      </c>
      <c r="D172" s="5">
        <f>_xlfn.XLOOKUP(A172,Planilha1!H:H,Planilha1!J:J)</f>
        <v>0.9</v>
      </c>
      <c r="E172" s="1">
        <f t="shared" si="9"/>
        <v>0</v>
      </c>
      <c r="F172">
        <f>_xlfn.XLOOKUP(A172,Planilha1!H:H,Planilha1!K:K)</f>
        <v>2</v>
      </c>
      <c r="G172" s="1">
        <f t="shared" si="8"/>
        <v>0</v>
      </c>
      <c r="H172" s="5">
        <f>_xlfn.XLOOKUP(A172,Planilha1!H:H,Planilha1!L:L)</f>
        <v>6.7000000000000004E-2</v>
      </c>
      <c r="I172">
        <f>_xlfn.XLOOKUP(A172,Planilha1!H:H,Planilha1!M:M)</f>
        <v>1.29</v>
      </c>
      <c r="J172" s="1">
        <f t="shared" si="10"/>
        <v>0</v>
      </c>
      <c r="K172" t="str">
        <f t="shared" si="11"/>
        <v>ESPM_46194</v>
      </c>
    </row>
    <row r="173" spans="1:11" x14ac:dyDescent="0.25">
      <c r="A173" t="s">
        <v>1</v>
      </c>
      <c r="B173" s="3">
        <v>46195</v>
      </c>
      <c r="C173">
        <v>3</v>
      </c>
      <c r="D173" s="5">
        <f>_xlfn.XLOOKUP(A173,Planilha1!H:H,Planilha1!J:J)</f>
        <v>0.9</v>
      </c>
      <c r="E173" s="1">
        <f t="shared" si="9"/>
        <v>2.7</v>
      </c>
      <c r="F173">
        <f>_xlfn.XLOOKUP(A173,Planilha1!H:H,Planilha1!K:K)</f>
        <v>2</v>
      </c>
      <c r="G173" s="1">
        <f t="shared" si="8"/>
        <v>0.7407407407407407</v>
      </c>
      <c r="H173" s="5">
        <f>_xlfn.XLOOKUP(A173,Planilha1!H:H,Planilha1!L:L)</f>
        <v>6.7000000000000004E-2</v>
      </c>
      <c r="I173">
        <f>_xlfn.XLOOKUP(A173,Planilha1!H:H,Planilha1!M:M)</f>
        <v>1.29</v>
      </c>
      <c r="J173" s="1">
        <f t="shared" si="10"/>
        <v>51.985074626865668</v>
      </c>
      <c r="K173" t="str">
        <f t="shared" si="11"/>
        <v>ESPM_46195</v>
      </c>
    </row>
    <row r="174" spans="1:11" x14ac:dyDescent="0.25">
      <c r="A174" t="s">
        <v>1</v>
      </c>
      <c r="B174" s="3">
        <v>46196</v>
      </c>
      <c r="C174">
        <v>3</v>
      </c>
      <c r="D174" s="5">
        <f>_xlfn.XLOOKUP(A174,Planilha1!H:H,Planilha1!J:J)</f>
        <v>0.9</v>
      </c>
      <c r="E174" s="1">
        <f t="shared" si="9"/>
        <v>2.7</v>
      </c>
      <c r="F174">
        <f>_xlfn.XLOOKUP(A174,Planilha1!H:H,Planilha1!K:K)</f>
        <v>2</v>
      </c>
      <c r="G174" s="1">
        <f t="shared" si="8"/>
        <v>0.7407407407407407</v>
      </c>
      <c r="H174" s="5">
        <f>_xlfn.XLOOKUP(A174,Planilha1!H:H,Planilha1!L:L)</f>
        <v>6.7000000000000004E-2</v>
      </c>
      <c r="I174">
        <f>_xlfn.XLOOKUP(A174,Planilha1!H:H,Planilha1!M:M)</f>
        <v>1.29</v>
      </c>
      <c r="J174" s="1">
        <f t="shared" si="10"/>
        <v>51.985074626865668</v>
      </c>
      <c r="K174" t="str">
        <f t="shared" si="11"/>
        <v>ESPM_46196</v>
      </c>
    </row>
    <row r="175" spans="1:11" x14ac:dyDescent="0.25">
      <c r="A175" t="s">
        <v>1</v>
      </c>
      <c r="B175" s="3">
        <v>46197</v>
      </c>
      <c r="C175">
        <v>2</v>
      </c>
      <c r="D175" s="5">
        <f>_xlfn.XLOOKUP(A175,Planilha1!H:H,Planilha1!J:J)</f>
        <v>0.9</v>
      </c>
      <c r="E175" s="1">
        <f t="shared" si="9"/>
        <v>1.8</v>
      </c>
      <c r="F175">
        <f>_xlfn.XLOOKUP(A175,Planilha1!H:H,Planilha1!K:K)</f>
        <v>2</v>
      </c>
      <c r="G175" s="1">
        <f t="shared" si="8"/>
        <v>1.1111111111111112</v>
      </c>
      <c r="H175" s="5">
        <f>_xlfn.XLOOKUP(A175,Planilha1!H:H,Planilha1!L:L)</f>
        <v>6.7000000000000004E-2</v>
      </c>
      <c r="I175">
        <f>_xlfn.XLOOKUP(A175,Planilha1!H:H,Planilha1!M:M)</f>
        <v>1.29</v>
      </c>
      <c r="J175" s="1">
        <f t="shared" si="10"/>
        <v>34.656716417910445</v>
      </c>
      <c r="K175" t="str">
        <f t="shared" si="11"/>
        <v>ESPM_46197</v>
      </c>
    </row>
    <row r="176" spans="1:11" x14ac:dyDescent="0.25">
      <c r="A176" t="s">
        <v>1</v>
      </c>
      <c r="B176" s="3">
        <v>46198</v>
      </c>
      <c r="C176">
        <v>3</v>
      </c>
      <c r="D176" s="5">
        <f>_xlfn.XLOOKUP(A176,Planilha1!H:H,Planilha1!J:J)</f>
        <v>0.9</v>
      </c>
      <c r="E176" s="1">
        <f t="shared" si="9"/>
        <v>2.7</v>
      </c>
      <c r="F176">
        <f>_xlfn.XLOOKUP(A176,Planilha1!H:H,Planilha1!K:K)</f>
        <v>2</v>
      </c>
      <c r="G176" s="1">
        <f t="shared" si="8"/>
        <v>0.7407407407407407</v>
      </c>
      <c r="H176" s="5">
        <f>_xlfn.XLOOKUP(A176,Planilha1!H:H,Planilha1!L:L)</f>
        <v>6.7000000000000004E-2</v>
      </c>
      <c r="I176">
        <f>_xlfn.XLOOKUP(A176,Planilha1!H:H,Planilha1!M:M)</f>
        <v>1.29</v>
      </c>
      <c r="J176" s="1">
        <f t="shared" si="10"/>
        <v>51.985074626865668</v>
      </c>
      <c r="K176" t="str">
        <f t="shared" si="11"/>
        <v>ESPM_46198</v>
      </c>
    </row>
    <row r="177" spans="1:11" x14ac:dyDescent="0.25">
      <c r="A177" t="s">
        <v>1</v>
      </c>
      <c r="B177" s="3">
        <v>46199</v>
      </c>
      <c r="C177">
        <v>3</v>
      </c>
      <c r="D177" s="5">
        <f>_xlfn.XLOOKUP(A177,Planilha1!H:H,Planilha1!J:J)</f>
        <v>0.9</v>
      </c>
      <c r="E177" s="1">
        <f t="shared" si="9"/>
        <v>2.7</v>
      </c>
      <c r="F177">
        <f>_xlfn.XLOOKUP(A177,Planilha1!H:H,Planilha1!K:K)</f>
        <v>2</v>
      </c>
      <c r="G177" s="1">
        <f t="shared" si="8"/>
        <v>0.7407407407407407</v>
      </c>
      <c r="H177" s="5">
        <f>_xlfn.XLOOKUP(A177,Planilha1!H:H,Planilha1!L:L)</f>
        <v>6.7000000000000004E-2</v>
      </c>
      <c r="I177">
        <f>_xlfn.XLOOKUP(A177,Planilha1!H:H,Planilha1!M:M)</f>
        <v>1.29</v>
      </c>
      <c r="J177" s="1">
        <f t="shared" si="10"/>
        <v>51.985074626865668</v>
      </c>
      <c r="K177" t="str">
        <f t="shared" si="11"/>
        <v>ESPM_46199</v>
      </c>
    </row>
    <row r="178" spans="1:11" x14ac:dyDescent="0.25">
      <c r="A178" t="s">
        <v>1</v>
      </c>
      <c r="B178" s="3">
        <v>46200</v>
      </c>
      <c r="C178">
        <v>0</v>
      </c>
      <c r="D178" s="5">
        <f>_xlfn.XLOOKUP(A178,Planilha1!H:H,Planilha1!J:J)</f>
        <v>0.9</v>
      </c>
      <c r="E178" s="1">
        <f t="shared" si="9"/>
        <v>0</v>
      </c>
      <c r="F178">
        <f>_xlfn.XLOOKUP(A178,Planilha1!H:H,Planilha1!K:K)</f>
        <v>2</v>
      </c>
      <c r="G178" s="1">
        <f t="shared" si="8"/>
        <v>0</v>
      </c>
      <c r="H178" s="5">
        <f>_xlfn.XLOOKUP(A178,Planilha1!H:H,Planilha1!L:L)</f>
        <v>6.7000000000000004E-2</v>
      </c>
      <c r="I178">
        <f>_xlfn.XLOOKUP(A178,Planilha1!H:H,Planilha1!M:M)</f>
        <v>1.29</v>
      </c>
      <c r="J178" s="1">
        <f t="shared" si="10"/>
        <v>0</v>
      </c>
      <c r="K178" t="str">
        <f t="shared" si="11"/>
        <v>ESPM_46200</v>
      </c>
    </row>
    <row r="179" spans="1:11" x14ac:dyDescent="0.25">
      <c r="A179" t="s">
        <v>1</v>
      </c>
      <c r="B179" s="3">
        <v>46201</v>
      </c>
      <c r="C179">
        <v>0</v>
      </c>
      <c r="D179" s="5">
        <f>_xlfn.XLOOKUP(A179,Planilha1!H:H,Planilha1!J:J)</f>
        <v>0.9</v>
      </c>
      <c r="E179" s="1">
        <f t="shared" si="9"/>
        <v>0</v>
      </c>
      <c r="F179">
        <f>_xlfn.XLOOKUP(A179,Planilha1!H:H,Planilha1!K:K)</f>
        <v>2</v>
      </c>
      <c r="G179" s="1">
        <f t="shared" si="8"/>
        <v>0</v>
      </c>
      <c r="H179" s="5">
        <f>_xlfn.XLOOKUP(A179,Planilha1!H:H,Planilha1!L:L)</f>
        <v>6.7000000000000004E-2</v>
      </c>
      <c r="I179">
        <f>_xlfn.XLOOKUP(A179,Planilha1!H:H,Planilha1!M:M)</f>
        <v>1.29</v>
      </c>
      <c r="J179" s="1">
        <f t="shared" si="10"/>
        <v>0</v>
      </c>
      <c r="K179" t="str">
        <f t="shared" si="11"/>
        <v>ESPM_46201</v>
      </c>
    </row>
    <row r="180" spans="1:11" x14ac:dyDescent="0.25">
      <c r="A180" t="s">
        <v>1</v>
      </c>
      <c r="B180" s="3">
        <v>46202</v>
      </c>
      <c r="C180">
        <v>1</v>
      </c>
      <c r="D180" s="5">
        <f>_xlfn.XLOOKUP(A180,Planilha1!H:H,Planilha1!J:J)</f>
        <v>0.9</v>
      </c>
      <c r="E180" s="1">
        <f t="shared" si="9"/>
        <v>0.9</v>
      </c>
      <c r="F180">
        <f>_xlfn.XLOOKUP(A180,Planilha1!H:H,Planilha1!K:K)</f>
        <v>2</v>
      </c>
      <c r="G180" s="1">
        <f t="shared" si="8"/>
        <v>2.2222222222222223</v>
      </c>
      <c r="H180" s="5">
        <f>_xlfn.XLOOKUP(A180,Planilha1!H:H,Planilha1!L:L)</f>
        <v>6.7000000000000004E-2</v>
      </c>
      <c r="I180">
        <f>_xlfn.XLOOKUP(A180,Planilha1!H:H,Planilha1!M:M)</f>
        <v>1.29</v>
      </c>
      <c r="J180" s="1">
        <f t="shared" si="10"/>
        <v>17.328358208955223</v>
      </c>
      <c r="K180" t="str">
        <f t="shared" si="11"/>
        <v>ESPM_46202</v>
      </c>
    </row>
    <row r="181" spans="1:11" x14ac:dyDescent="0.25">
      <c r="A181" t="s">
        <v>1</v>
      </c>
      <c r="B181" s="3">
        <v>46203</v>
      </c>
      <c r="C181">
        <v>3</v>
      </c>
      <c r="D181" s="5">
        <f>_xlfn.XLOOKUP(A181,Planilha1!H:H,Planilha1!J:J)</f>
        <v>0.9</v>
      </c>
      <c r="E181" s="1">
        <f t="shared" si="9"/>
        <v>2.7</v>
      </c>
      <c r="F181">
        <f>_xlfn.XLOOKUP(A181,Planilha1!H:H,Planilha1!K:K)</f>
        <v>2</v>
      </c>
      <c r="G181" s="1">
        <f t="shared" si="8"/>
        <v>0.7407407407407407</v>
      </c>
      <c r="H181" s="5">
        <f>_xlfn.XLOOKUP(A181,Planilha1!H:H,Planilha1!L:L)</f>
        <v>6.7000000000000004E-2</v>
      </c>
      <c r="I181">
        <f>_xlfn.XLOOKUP(A181,Planilha1!H:H,Planilha1!M:M)</f>
        <v>1.29</v>
      </c>
      <c r="J181" s="1">
        <f t="shared" si="10"/>
        <v>51.985074626865668</v>
      </c>
      <c r="K181" t="str">
        <f t="shared" si="11"/>
        <v>ESPM_46203</v>
      </c>
    </row>
    <row r="182" spans="1:11" x14ac:dyDescent="0.25">
      <c r="A182" t="s">
        <v>0</v>
      </c>
      <c r="B182" s="3">
        <v>46174</v>
      </c>
      <c r="C182">
        <v>6</v>
      </c>
      <c r="D182" s="5">
        <f>_xlfn.XLOOKUP(A182,Planilha1!H:H,Planilha1!J:J)</f>
        <v>0.89248648648648654</v>
      </c>
      <c r="E182" s="1">
        <f t="shared" si="9"/>
        <v>5.3549189189189192</v>
      </c>
      <c r="F182">
        <f>_xlfn.XLOOKUP(A182,Planilha1!H:H,Planilha1!K:K)</f>
        <v>4</v>
      </c>
      <c r="G182" s="1">
        <f t="shared" si="8"/>
        <v>0.74697676296610338</v>
      </c>
      <c r="H182" s="5">
        <f>_xlfn.XLOOKUP(A182,Planilha1!H:H,Planilha1!L:L)</f>
        <v>5.6000000000000001E-2</v>
      </c>
      <c r="I182">
        <f>_xlfn.XLOOKUP(A182,Planilha1!H:H,Planilha1!M:M)</f>
        <v>1.32</v>
      </c>
      <c r="J182" s="1">
        <f t="shared" si="10"/>
        <v>126.22308880308881</v>
      </c>
      <c r="K182" t="str">
        <f t="shared" si="11"/>
        <v>HCOR_46174</v>
      </c>
    </row>
    <row r="183" spans="1:11" x14ac:dyDescent="0.25">
      <c r="A183" t="s">
        <v>0</v>
      </c>
      <c r="B183" s="3">
        <v>46175</v>
      </c>
      <c r="C183">
        <v>6</v>
      </c>
      <c r="D183" s="5">
        <f>_xlfn.XLOOKUP(A183,Planilha1!H:H,Planilha1!J:J)</f>
        <v>0.89248648648648654</v>
      </c>
      <c r="E183" s="1">
        <f t="shared" si="9"/>
        <v>5.3549189189189192</v>
      </c>
      <c r="F183">
        <f>_xlfn.XLOOKUP(A183,Planilha1!H:H,Planilha1!K:K)</f>
        <v>4</v>
      </c>
      <c r="G183" s="1">
        <f t="shared" si="8"/>
        <v>0.74697676296610338</v>
      </c>
      <c r="H183" s="5">
        <f>_xlfn.XLOOKUP(A183,Planilha1!H:H,Planilha1!L:L)</f>
        <v>5.6000000000000001E-2</v>
      </c>
      <c r="I183">
        <f>_xlfn.XLOOKUP(A183,Planilha1!H:H,Planilha1!M:M)</f>
        <v>1.32</v>
      </c>
      <c r="J183" s="1">
        <f t="shared" si="10"/>
        <v>126.22308880308881</v>
      </c>
      <c r="K183" t="str">
        <f t="shared" si="11"/>
        <v>HCOR_46175</v>
      </c>
    </row>
    <row r="184" spans="1:11" x14ac:dyDescent="0.25">
      <c r="A184" t="s">
        <v>0</v>
      </c>
      <c r="B184" s="3">
        <v>46176</v>
      </c>
      <c r="C184">
        <v>6</v>
      </c>
      <c r="D184" s="5">
        <f>_xlfn.XLOOKUP(A184,Planilha1!H:H,Planilha1!J:J)</f>
        <v>0.89248648648648654</v>
      </c>
      <c r="E184" s="1">
        <f t="shared" si="9"/>
        <v>5.3549189189189192</v>
      </c>
      <c r="F184">
        <f>_xlfn.XLOOKUP(A184,Planilha1!H:H,Planilha1!K:K)</f>
        <v>4</v>
      </c>
      <c r="G184" s="1">
        <f t="shared" si="8"/>
        <v>0.74697676296610338</v>
      </c>
      <c r="H184" s="5">
        <f>_xlfn.XLOOKUP(A184,Planilha1!H:H,Planilha1!L:L)</f>
        <v>5.6000000000000001E-2</v>
      </c>
      <c r="I184">
        <f>_xlfn.XLOOKUP(A184,Planilha1!H:H,Planilha1!M:M)</f>
        <v>1.32</v>
      </c>
      <c r="J184" s="1">
        <f t="shared" si="10"/>
        <v>126.22308880308881</v>
      </c>
      <c r="K184" t="str">
        <f t="shared" si="11"/>
        <v>HCOR_46176</v>
      </c>
    </row>
    <row r="185" spans="1:11" x14ac:dyDescent="0.25">
      <c r="A185" t="s">
        <v>0</v>
      </c>
      <c r="B185" s="3">
        <v>46177</v>
      </c>
      <c r="C185">
        <v>0</v>
      </c>
      <c r="D185" s="5">
        <f>_xlfn.XLOOKUP(A185,Planilha1!H:H,Planilha1!J:J)</f>
        <v>0.89248648648648654</v>
      </c>
      <c r="E185" s="1">
        <f t="shared" si="9"/>
        <v>0</v>
      </c>
      <c r="F185">
        <f>_xlfn.XLOOKUP(A185,Planilha1!H:H,Planilha1!K:K)</f>
        <v>4</v>
      </c>
      <c r="G185" s="1">
        <f t="shared" si="8"/>
        <v>0</v>
      </c>
      <c r="H185" s="5">
        <f>_xlfn.XLOOKUP(A185,Planilha1!H:H,Planilha1!L:L)</f>
        <v>5.6000000000000001E-2</v>
      </c>
      <c r="I185">
        <f>_xlfn.XLOOKUP(A185,Planilha1!H:H,Planilha1!M:M)</f>
        <v>1.32</v>
      </c>
      <c r="J185" s="1">
        <f t="shared" si="10"/>
        <v>0</v>
      </c>
      <c r="K185" t="str">
        <f t="shared" si="11"/>
        <v>HCOR_46177</v>
      </c>
    </row>
    <row r="186" spans="1:11" x14ac:dyDescent="0.25">
      <c r="A186" t="s">
        <v>0</v>
      </c>
      <c r="B186" s="3">
        <v>46178</v>
      </c>
      <c r="C186">
        <v>2</v>
      </c>
      <c r="D186" s="5">
        <f>_xlfn.XLOOKUP(A186,Planilha1!H:H,Planilha1!J:J)</f>
        <v>0.89248648648648654</v>
      </c>
      <c r="E186" s="1">
        <f t="shared" si="9"/>
        <v>1.7849729729729731</v>
      </c>
      <c r="F186">
        <f>_xlfn.XLOOKUP(A186,Planilha1!H:H,Planilha1!K:K)</f>
        <v>4</v>
      </c>
      <c r="G186" s="1">
        <f t="shared" si="8"/>
        <v>2.2409302888983103</v>
      </c>
      <c r="H186" s="5">
        <f>_xlfn.XLOOKUP(A186,Planilha1!H:H,Planilha1!L:L)</f>
        <v>5.6000000000000001E-2</v>
      </c>
      <c r="I186">
        <f>_xlfn.XLOOKUP(A186,Planilha1!H:H,Planilha1!M:M)</f>
        <v>1.32</v>
      </c>
      <c r="J186" s="1">
        <f t="shared" si="10"/>
        <v>42.074362934362938</v>
      </c>
      <c r="K186" t="str">
        <f t="shared" si="11"/>
        <v>HCOR_46178</v>
      </c>
    </row>
    <row r="187" spans="1:11" x14ac:dyDescent="0.25">
      <c r="A187" t="s">
        <v>0</v>
      </c>
      <c r="B187" s="3">
        <v>46179</v>
      </c>
      <c r="C187">
        <v>1</v>
      </c>
      <c r="D187" s="5">
        <f>_xlfn.XLOOKUP(A187,Planilha1!H:H,Planilha1!J:J)</f>
        <v>0.89248648648648654</v>
      </c>
      <c r="E187" s="1">
        <f t="shared" si="9"/>
        <v>0.89248648648648654</v>
      </c>
      <c r="F187">
        <f>_xlfn.XLOOKUP(A187,Planilha1!H:H,Planilha1!K:K)</f>
        <v>4</v>
      </c>
      <c r="G187" s="1">
        <f t="shared" si="8"/>
        <v>4.4818605777966205</v>
      </c>
      <c r="H187" s="5">
        <f>_xlfn.XLOOKUP(A187,Planilha1!H:H,Planilha1!L:L)</f>
        <v>5.6000000000000001E-2</v>
      </c>
      <c r="I187">
        <f>_xlfn.XLOOKUP(A187,Planilha1!H:H,Planilha1!M:M)</f>
        <v>1.32</v>
      </c>
      <c r="J187" s="1">
        <f t="shared" si="10"/>
        <v>21.037181467181469</v>
      </c>
      <c r="K187" t="str">
        <f t="shared" si="11"/>
        <v>HCOR_46179</v>
      </c>
    </row>
    <row r="188" spans="1:11" x14ac:dyDescent="0.25">
      <c r="A188" t="s">
        <v>0</v>
      </c>
      <c r="B188" s="3">
        <v>46180</v>
      </c>
      <c r="C188">
        <v>0</v>
      </c>
      <c r="D188" s="5">
        <f>_xlfn.XLOOKUP(A188,Planilha1!H:H,Planilha1!J:J)</f>
        <v>0.89248648648648654</v>
      </c>
      <c r="E188" s="1">
        <f t="shared" si="9"/>
        <v>0</v>
      </c>
      <c r="F188">
        <f>_xlfn.XLOOKUP(A188,Planilha1!H:H,Planilha1!K:K)</f>
        <v>4</v>
      </c>
      <c r="G188" s="1">
        <f t="shared" si="8"/>
        <v>0</v>
      </c>
      <c r="H188" s="5">
        <f>_xlfn.XLOOKUP(A188,Planilha1!H:H,Planilha1!L:L)</f>
        <v>5.6000000000000001E-2</v>
      </c>
      <c r="I188">
        <f>_xlfn.XLOOKUP(A188,Planilha1!H:H,Planilha1!M:M)</f>
        <v>1.32</v>
      </c>
      <c r="J188" s="1">
        <f t="shared" si="10"/>
        <v>0</v>
      </c>
      <c r="K188" t="str">
        <f t="shared" si="11"/>
        <v>HCOR_46180</v>
      </c>
    </row>
    <row r="189" spans="1:11" x14ac:dyDescent="0.25">
      <c r="A189" t="s">
        <v>0</v>
      </c>
      <c r="B189" s="3">
        <v>46181</v>
      </c>
      <c r="C189">
        <v>10</v>
      </c>
      <c r="D189" s="5">
        <f>_xlfn.XLOOKUP(A189,Planilha1!H:H,Planilha1!J:J)</f>
        <v>0.89248648648648654</v>
      </c>
      <c r="E189" s="1">
        <f t="shared" si="9"/>
        <v>8.9248648648648654</v>
      </c>
      <c r="F189">
        <f>_xlfn.XLOOKUP(A189,Planilha1!H:H,Planilha1!K:K)</f>
        <v>4</v>
      </c>
      <c r="G189" s="1">
        <f t="shared" si="8"/>
        <v>0.44818605777966203</v>
      </c>
      <c r="H189" s="5">
        <f>_xlfn.XLOOKUP(A189,Planilha1!H:H,Planilha1!L:L)</f>
        <v>5.6000000000000001E-2</v>
      </c>
      <c r="I189">
        <f>_xlfn.XLOOKUP(A189,Planilha1!H:H,Planilha1!M:M)</f>
        <v>1.32</v>
      </c>
      <c r="J189" s="1">
        <f t="shared" si="10"/>
        <v>210.37181467181469</v>
      </c>
      <c r="K189" t="str">
        <f t="shared" si="11"/>
        <v>HCOR_46181</v>
      </c>
    </row>
    <row r="190" spans="1:11" x14ac:dyDescent="0.25">
      <c r="A190" t="s">
        <v>0</v>
      </c>
      <c r="B190" s="3">
        <v>46182</v>
      </c>
      <c r="C190">
        <v>10</v>
      </c>
      <c r="D190" s="5">
        <f>_xlfn.XLOOKUP(A190,Planilha1!H:H,Planilha1!J:J)</f>
        <v>0.89248648648648654</v>
      </c>
      <c r="E190" s="1">
        <f t="shared" si="9"/>
        <v>8.9248648648648654</v>
      </c>
      <c r="F190">
        <f>_xlfn.XLOOKUP(A190,Planilha1!H:H,Planilha1!K:K)</f>
        <v>4</v>
      </c>
      <c r="G190" s="1">
        <f t="shared" si="8"/>
        <v>0.44818605777966203</v>
      </c>
      <c r="H190" s="5">
        <f>_xlfn.XLOOKUP(A190,Planilha1!H:H,Planilha1!L:L)</f>
        <v>5.6000000000000001E-2</v>
      </c>
      <c r="I190">
        <f>_xlfn.XLOOKUP(A190,Planilha1!H:H,Planilha1!M:M)</f>
        <v>1.32</v>
      </c>
      <c r="J190" s="1">
        <f t="shared" si="10"/>
        <v>210.37181467181469</v>
      </c>
      <c r="K190" t="str">
        <f t="shared" si="11"/>
        <v>HCOR_46182</v>
      </c>
    </row>
    <row r="191" spans="1:11" x14ac:dyDescent="0.25">
      <c r="A191" t="s">
        <v>0</v>
      </c>
      <c r="B191" s="3">
        <v>46183</v>
      </c>
      <c r="C191">
        <v>8</v>
      </c>
      <c r="D191" s="5">
        <f>_xlfn.XLOOKUP(A191,Planilha1!H:H,Planilha1!J:J)</f>
        <v>0.89248648648648654</v>
      </c>
      <c r="E191" s="1">
        <f t="shared" si="9"/>
        <v>7.1398918918918923</v>
      </c>
      <c r="F191">
        <f>_xlfn.XLOOKUP(A191,Planilha1!H:H,Planilha1!K:K)</f>
        <v>4</v>
      </c>
      <c r="G191" s="1">
        <f t="shared" si="8"/>
        <v>0.56023257222457756</v>
      </c>
      <c r="H191" s="5">
        <f>_xlfn.XLOOKUP(A191,Planilha1!H:H,Planilha1!L:L)</f>
        <v>5.6000000000000001E-2</v>
      </c>
      <c r="I191">
        <f>_xlfn.XLOOKUP(A191,Planilha1!H:H,Planilha1!M:M)</f>
        <v>1.32</v>
      </c>
      <c r="J191" s="1">
        <f t="shared" si="10"/>
        <v>168.29745173745175</v>
      </c>
      <c r="K191" t="str">
        <f t="shared" si="11"/>
        <v>HCOR_46183</v>
      </c>
    </row>
    <row r="192" spans="1:11" x14ac:dyDescent="0.25">
      <c r="A192" t="s">
        <v>0</v>
      </c>
      <c r="B192" s="3">
        <v>46184</v>
      </c>
      <c r="C192">
        <v>8</v>
      </c>
      <c r="D192" s="5">
        <f>_xlfn.XLOOKUP(A192,Planilha1!H:H,Planilha1!J:J)</f>
        <v>0.89248648648648654</v>
      </c>
      <c r="E192" s="1">
        <f t="shared" si="9"/>
        <v>7.1398918918918923</v>
      </c>
      <c r="F192">
        <f>_xlfn.XLOOKUP(A192,Planilha1!H:H,Planilha1!K:K)</f>
        <v>4</v>
      </c>
      <c r="G192" s="1">
        <f t="shared" si="8"/>
        <v>0.56023257222457756</v>
      </c>
      <c r="H192" s="5">
        <f>_xlfn.XLOOKUP(A192,Planilha1!H:H,Planilha1!L:L)</f>
        <v>5.6000000000000001E-2</v>
      </c>
      <c r="I192">
        <f>_xlfn.XLOOKUP(A192,Planilha1!H:H,Planilha1!M:M)</f>
        <v>1.32</v>
      </c>
      <c r="J192" s="1">
        <f t="shared" si="10"/>
        <v>168.29745173745175</v>
      </c>
      <c r="K192" t="str">
        <f t="shared" si="11"/>
        <v>HCOR_46184</v>
      </c>
    </row>
    <row r="193" spans="1:11" x14ac:dyDescent="0.25">
      <c r="A193" t="s">
        <v>0</v>
      </c>
      <c r="B193" s="3">
        <v>46185</v>
      </c>
      <c r="C193">
        <v>7</v>
      </c>
      <c r="D193" s="5">
        <f>_xlfn.XLOOKUP(A193,Planilha1!H:H,Planilha1!J:J)</f>
        <v>0.89248648648648654</v>
      </c>
      <c r="E193" s="1">
        <f t="shared" si="9"/>
        <v>6.2474054054054058</v>
      </c>
      <c r="F193">
        <f>_xlfn.XLOOKUP(A193,Planilha1!H:H,Planilha1!K:K)</f>
        <v>4</v>
      </c>
      <c r="G193" s="1">
        <f t="shared" si="8"/>
        <v>0.6402657968280886</v>
      </c>
      <c r="H193" s="5">
        <f>_xlfn.XLOOKUP(A193,Planilha1!H:H,Planilha1!L:L)</f>
        <v>5.6000000000000001E-2</v>
      </c>
      <c r="I193">
        <f>_xlfn.XLOOKUP(A193,Planilha1!H:H,Planilha1!M:M)</f>
        <v>1.32</v>
      </c>
      <c r="J193" s="1">
        <f t="shared" si="10"/>
        <v>147.2602702702703</v>
      </c>
      <c r="K193" t="str">
        <f t="shared" si="11"/>
        <v>HCOR_46185</v>
      </c>
    </row>
    <row r="194" spans="1:11" x14ac:dyDescent="0.25">
      <c r="A194" t="s">
        <v>0</v>
      </c>
      <c r="B194" s="3">
        <v>46186</v>
      </c>
      <c r="C194">
        <v>0</v>
      </c>
      <c r="D194" s="5">
        <f>_xlfn.XLOOKUP(A194,Planilha1!H:H,Planilha1!J:J)</f>
        <v>0.89248648648648654</v>
      </c>
      <c r="E194" s="1">
        <f t="shared" si="9"/>
        <v>0</v>
      </c>
      <c r="F194">
        <f>_xlfn.XLOOKUP(A194,Planilha1!H:H,Planilha1!K:K)</f>
        <v>4</v>
      </c>
      <c r="G194" s="1">
        <f t="shared" ref="G194:G240" si="12">IFERROR(F194/E194,0)</f>
        <v>0</v>
      </c>
      <c r="H194" s="5">
        <f>_xlfn.XLOOKUP(A194,Planilha1!H:H,Planilha1!L:L)</f>
        <v>5.6000000000000001E-2</v>
      </c>
      <c r="I194">
        <f>_xlfn.XLOOKUP(A194,Planilha1!H:H,Planilha1!M:M)</f>
        <v>1.32</v>
      </c>
      <c r="J194" s="1">
        <f t="shared" si="10"/>
        <v>0</v>
      </c>
      <c r="K194" t="str">
        <f t="shared" si="11"/>
        <v>HCOR_46186</v>
      </c>
    </row>
    <row r="195" spans="1:11" x14ac:dyDescent="0.25">
      <c r="A195" t="s">
        <v>0</v>
      </c>
      <c r="B195" s="3">
        <v>46187</v>
      </c>
      <c r="C195">
        <v>0</v>
      </c>
      <c r="D195" s="5">
        <f>_xlfn.XLOOKUP(A195,Planilha1!H:H,Planilha1!J:J)</f>
        <v>0.89248648648648654</v>
      </c>
      <c r="E195" s="1">
        <f t="shared" ref="E195:E241" si="13">C195*D195</f>
        <v>0</v>
      </c>
      <c r="F195">
        <f>_xlfn.XLOOKUP(A195,Planilha1!H:H,Planilha1!K:K)</f>
        <v>4</v>
      </c>
      <c r="G195" s="1">
        <f t="shared" si="12"/>
        <v>0</v>
      </c>
      <c r="H195" s="5">
        <f>_xlfn.XLOOKUP(A195,Planilha1!H:H,Planilha1!L:L)</f>
        <v>5.6000000000000001E-2</v>
      </c>
      <c r="I195">
        <f>_xlfn.XLOOKUP(A195,Planilha1!H:H,Planilha1!M:M)</f>
        <v>1.32</v>
      </c>
      <c r="J195" s="1">
        <f t="shared" ref="J195:J241" si="14">(E195/H195)*I195</f>
        <v>0</v>
      </c>
      <c r="K195" t="str">
        <f t="shared" ref="K195:K241" si="15">_xlfn.CONCAT(A195,"_",B195)</f>
        <v>HCOR_46187</v>
      </c>
    </row>
    <row r="196" spans="1:11" x14ac:dyDescent="0.25">
      <c r="A196" t="s">
        <v>0</v>
      </c>
      <c r="B196" s="3">
        <v>46188</v>
      </c>
      <c r="C196">
        <v>7</v>
      </c>
      <c r="D196" s="5">
        <f>_xlfn.XLOOKUP(A196,Planilha1!H:H,Planilha1!J:J)</f>
        <v>0.89248648648648654</v>
      </c>
      <c r="E196" s="1">
        <f t="shared" si="13"/>
        <v>6.2474054054054058</v>
      </c>
      <c r="F196">
        <f>_xlfn.XLOOKUP(A196,Planilha1!H:H,Planilha1!K:K)</f>
        <v>4</v>
      </c>
      <c r="G196" s="1">
        <f t="shared" si="12"/>
        <v>0.6402657968280886</v>
      </c>
      <c r="H196" s="5">
        <f>_xlfn.XLOOKUP(A196,Planilha1!H:H,Planilha1!L:L)</f>
        <v>5.6000000000000001E-2</v>
      </c>
      <c r="I196">
        <f>_xlfn.XLOOKUP(A196,Planilha1!H:H,Planilha1!M:M)</f>
        <v>1.32</v>
      </c>
      <c r="J196" s="1">
        <f t="shared" si="14"/>
        <v>147.2602702702703</v>
      </c>
      <c r="K196" t="str">
        <f t="shared" si="15"/>
        <v>HCOR_46188</v>
      </c>
    </row>
    <row r="197" spans="1:11" x14ac:dyDescent="0.25">
      <c r="A197" t="s">
        <v>0</v>
      </c>
      <c r="B197" s="3">
        <v>46189</v>
      </c>
      <c r="C197">
        <v>7</v>
      </c>
      <c r="D197" s="5">
        <f>_xlfn.XLOOKUP(A197,Planilha1!H:H,Planilha1!J:J)</f>
        <v>0.89248648648648654</v>
      </c>
      <c r="E197" s="1">
        <f t="shared" si="13"/>
        <v>6.2474054054054058</v>
      </c>
      <c r="F197">
        <f>_xlfn.XLOOKUP(A197,Planilha1!H:H,Planilha1!K:K)</f>
        <v>4</v>
      </c>
      <c r="G197" s="1">
        <f t="shared" si="12"/>
        <v>0.6402657968280886</v>
      </c>
      <c r="H197" s="5">
        <f>_xlfn.XLOOKUP(A197,Planilha1!H:H,Planilha1!L:L)</f>
        <v>5.6000000000000001E-2</v>
      </c>
      <c r="I197">
        <f>_xlfn.XLOOKUP(A197,Planilha1!H:H,Planilha1!M:M)</f>
        <v>1.32</v>
      </c>
      <c r="J197" s="1">
        <f t="shared" si="14"/>
        <v>147.2602702702703</v>
      </c>
      <c r="K197" t="str">
        <f t="shared" si="15"/>
        <v>HCOR_46189</v>
      </c>
    </row>
    <row r="198" spans="1:11" x14ac:dyDescent="0.25">
      <c r="A198" t="s">
        <v>0</v>
      </c>
      <c r="B198" s="3">
        <v>46190</v>
      </c>
      <c r="C198">
        <v>7</v>
      </c>
      <c r="D198" s="5">
        <f>_xlfn.XLOOKUP(A198,Planilha1!H:H,Planilha1!J:J)</f>
        <v>0.89248648648648654</v>
      </c>
      <c r="E198" s="1">
        <f t="shared" si="13"/>
        <v>6.2474054054054058</v>
      </c>
      <c r="F198">
        <f>_xlfn.XLOOKUP(A198,Planilha1!H:H,Planilha1!K:K)</f>
        <v>4</v>
      </c>
      <c r="G198" s="1">
        <f t="shared" si="12"/>
        <v>0.6402657968280886</v>
      </c>
      <c r="H198" s="5">
        <f>_xlfn.XLOOKUP(A198,Planilha1!H:H,Planilha1!L:L)</f>
        <v>5.6000000000000001E-2</v>
      </c>
      <c r="I198">
        <f>_xlfn.XLOOKUP(A198,Planilha1!H:H,Planilha1!M:M)</f>
        <v>1.32</v>
      </c>
      <c r="J198" s="1">
        <f t="shared" si="14"/>
        <v>147.2602702702703</v>
      </c>
      <c r="K198" t="str">
        <f t="shared" si="15"/>
        <v>HCOR_46190</v>
      </c>
    </row>
    <row r="199" spans="1:11" x14ac:dyDescent="0.25">
      <c r="A199" t="s">
        <v>0</v>
      </c>
      <c r="B199" s="3">
        <v>46191</v>
      </c>
      <c r="C199">
        <v>7</v>
      </c>
      <c r="D199" s="5">
        <f>_xlfn.XLOOKUP(A199,Planilha1!H:H,Planilha1!J:J)</f>
        <v>0.89248648648648654</v>
      </c>
      <c r="E199" s="1">
        <f t="shared" si="13"/>
        <v>6.2474054054054058</v>
      </c>
      <c r="F199">
        <f>_xlfn.XLOOKUP(A199,Planilha1!H:H,Planilha1!K:K)</f>
        <v>4</v>
      </c>
      <c r="G199" s="1">
        <f t="shared" si="12"/>
        <v>0.6402657968280886</v>
      </c>
      <c r="H199" s="5">
        <f>_xlfn.XLOOKUP(A199,Planilha1!H:H,Planilha1!L:L)</f>
        <v>5.6000000000000001E-2</v>
      </c>
      <c r="I199">
        <f>_xlfn.XLOOKUP(A199,Planilha1!H:H,Planilha1!M:M)</f>
        <v>1.32</v>
      </c>
      <c r="J199" s="1">
        <f t="shared" si="14"/>
        <v>147.2602702702703</v>
      </c>
      <c r="K199" t="str">
        <f t="shared" si="15"/>
        <v>HCOR_46191</v>
      </c>
    </row>
    <row r="200" spans="1:11" x14ac:dyDescent="0.25">
      <c r="A200" t="s">
        <v>0</v>
      </c>
      <c r="B200" s="3">
        <v>46192</v>
      </c>
      <c r="C200">
        <v>7</v>
      </c>
      <c r="D200" s="5">
        <f>_xlfn.XLOOKUP(A200,Planilha1!H:H,Planilha1!J:J)</f>
        <v>0.89248648648648654</v>
      </c>
      <c r="E200" s="1">
        <f t="shared" si="13"/>
        <v>6.2474054054054058</v>
      </c>
      <c r="F200">
        <f>_xlfn.XLOOKUP(A200,Planilha1!H:H,Planilha1!K:K)</f>
        <v>4</v>
      </c>
      <c r="G200" s="1">
        <f t="shared" si="12"/>
        <v>0.6402657968280886</v>
      </c>
      <c r="H200" s="5">
        <f>_xlfn.XLOOKUP(A200,Planilha1!H:H,Planilha1!L:L)</f>
        <v>5.6000000000000001E-2</v>
      </c>
      <c r="I200">
        <f>_xlfn.XLOOKUP(A200,Planilha1!H:H,Planilha1!M:M)</f>
        <v>1.32</v>
      </c>
      <c r="J200" s="1">
        <f t="shared" si="14"/>
        <v>147.2602702702703</v>
      </c>
      <c r="K200" t="str">
        <f t="shared" si="15"/>
        <v>HCOR_46192</v>
      </c>
    </row>
    <row r="201" spans="1:11" x14ac:dyDescent="0.25">
      <c r="A201" t="s">
        <v>0</v>
      </c>
      <c r="B201" s="3">
        <v>46193</v>
      </c>
      <c r="C201">
        <v>0</v>
      </c>
      <c r="D201" s="5">
        <f>_xlfn.XLOOKUP(A201,Planilha1!H:H,Planilha1!J:J)</f>
        <v>0.89248648648648654</v>
      </c>
      <c r="E201" s="1">
        <f t="shared" si="13"/>
        <v>0</v>
      </c>
      <c r="F201">
        <f>_xlfn.XLOOKUP(A201,Planilha1!H:H,Planilha1!K:K)</f>
        <v>4</v>
      </c>
      <c r="G201" s="1">
        <f t="shared" si="12"/>
        <v>0</v>
      </c>
      <c r="H201" s="5">
        <f>_xlfn.XLOOKUP(A201,Planilha1!H:H,Planilha1!L:L)</f>
        <v>5.6000000000000001E-2</v>
      </c>
      <c r="I201">
        <f>_xlfn.XLOOKUP(A201,Planilha1!H:H,Planilha1!M:M)</f>
        <v>1.32</v>
      </c>
      <c r="J201" s="1">
        <f t="shared" si="14"/>
        <v>0</v>
      </c>
      <c r="K201" t="str">
        <f t="shared" si="15"/>
        <v>HCOR_46193</v>
      </c>
    </row>
    <row r="202" spans="1:11" x14ac:dyDescent="0.25">
      <c r="A202" t="s">
        <v>0</v>
      </c>
      <c r="B202" s="3">
        <v>46194</v>
      </c>
      <c r="C202">
        <v>0</v>
      </c>
      <c r="D202" s="5">
        <f>_xlfn.XLOOKUP(A202,Planilha1!H:H,Planilha1!J:J)</f>
        <v>0.89248648648648654</v>
      </c>
      <c r="E202" s="1">
        <f t="shared" si="13"/>
        <v>0</v>
      </c>
      <c r="F202">
        <f>_xlfn.XLOOKUP(A202,Planilha1!H:H,Planilha1!K:K)</f>
        <v>4</v>
      </c>
      <c r="G202" s="1">
        <f t="shared" si="12"/>
        <v>0</v>
      </c>
      <c r="H202" s="5">
        <f>_xlfn.XLOOKUP(A202,Planilha1!H:H,Planilha1!L:L)</f>
        <v>5.6000000000000001E-2</v>
      </c>
      <c r="I202">
        <f>_xlfn.XLOOKUP(A202,Planilha1!H:H,Planilha1!M:M)</f>
        <v>1.32</v>
      </c>
      <c r="J202" s="1">
        <f t="shared" si="14"/>
        <v>0</v>
      </c>
      <c r="K202" t="str">
        <f t="shared" si="15"/>
        <v>HCOR_46194</v>
      </c>
    </row>
    <row r="203" spans="1:11" x14ac:dyDescent="0.25">
      <c r="A203" t="s">
        <v>0</v>
      </c>
      <c r="B203" s="3">
        <v>46195</v>
      </c>
      <c r="C203">
        <v>7</v>
      </c>
      <c r="D203" s="5">
        <f>_xlfn.XLOOKUP(A203,Planilha1!H:H,Planilha1!J:J)</f>
        <v>0.89248648648648654</v>
      </c>
      <c r="E203" s="1">
        <f t="shared" si="13"/>
        <v>6.2474054054054058</v>
      </c>
      <c r="F203">
        <f>_xlfn.XLOOKUP(A203,Planilha1!H:H,Planilha1!K:K)</f>
        <v>4</v>
      </c>
      <c r="G203" s="1">
        <f t="shared" si="12"/>
        <v>0.6402657968280886</v>
      </c>
      <c r="H203" s="5">
        <f>_xlfn.XLOOKUP(A203,Planilha1!H:H,Planilha1!L:L)</f>
        <v>5.6000000000000001E-2</v>
      </c>
      <c r="I203">
        <f>_xlfn.XLOOKUP(A203,Planilha1!H:H,Planilha1!M:M)</f>
        <v>1.32</v>
      </c>
      <c r="J203" s="1">
        <f t="shared" si="14"/>
        <v>147.2602702702703</v>
      </c>
      <c r="K203" t="str">
        <f t="shared" si="15"/>
        <v>HCOR_46195</v>
      </c>
    </row>
    <row r="204" spans="1:11" x14ac:dyDescent="0.25">
      <c r="A204" t="s">
        <v>0</v>
      </c>
      <c r="B204" s="3">
        <v>46196</v>
      </c>
      <c r="C204">
        <v>7</v>
      </c>
      <c r="D204" s="5">
        <f>_xlfn.XLOOKUP(A204,Planilha1!H:H,Planilha1!J:J)</f>
        <v>0.89248648648648654</v>
      </c>
      <c r="E204" s="1">
        <f t="shared" si="13"/>
        <v>6.2474054054054058</v>
      </c>
      <c r="F204">
        <f>_xlfn.XLOOKUP(A204,Planilha1!H:H,Planilha1!K:K)</f>
        <v>4</v>
      </c>
      <c r="G204" s="1">
        <f t="shared" si="12"/>
        <v>0.6402657968280886</v>
      </c>
      <c r="H204" s="5">
        <f>_xlfn.XLOOKUP(A204,Planilha1!H:H,Planilha1!L:L)</f>
        <v>5.6000000000000001E-2</v>
      </c>
      <c r="I204">
        <f>_xlfn.XLOOKUP(A204,Planilha1!H:H,Planilha1!M:M)</f>
        <v>1.32</v>
      </c>
      <c r="J204" s="1">
        <f t="shared" si="14"/>
        <v>147.2602702702703</v>
      </c>
      <c r="K204" t="str">
        <f t="shared" si="15"/>
        <v>HCOR_46196</v>
      </c>
    </row>
    <row r="205" spans="1:11" x14ac:dyDescent="0.25">
      <c r="A205" t="s">
        <v>0</v>
      </c>
      <c r="B205" s="3">
        <v>46197</v>
      </c>
      <c r="C205">
        <v>5</v>
      </c>
      <c r="D205" s="5">
        <f>_xlfn.XLOOKUP(A205,Planilha1!H:H,Planilha1!J:J)</f>
        <v>0.89248648648648654</v>
      </c>
      <c r="E205" s="1">
        <f t="shared" si="13"/>
        <v>4.4624324324324327</v>
      </c>
      <c r="F205">
        <f>_xlfn.XLOOKUP(A205,Planilha1!H:H,Planilha1!K:K)</f>
        <v>4</v>
      </c>
      <c r="G205" s="1">
        <f t="shared" si="12"/>
        <v>0.89637211555932406</v>
      </c>
      <c r="H205" s="5">
        <f>_xlfn.XLOOKUP(A205,Planilha1!H:H,Planilha1!L:L)</f>
        <v>5.6000000000000001E-2</v>
      </c>
      <c r="I205">
        <f>_xlfn.XLOOKUP(A205,Planilha1!H:H,Planilha1!M:M)</f>
        <v>1.32</v>
      </c>
      <c r="J205" s="1">
        <f t="shared" si="14"/>
        <v>105.18590733590734</v>
      </c>
      <c r="K205" t="str">
        <f t="shared" si="15"/>
        <v>HCOR_46197</v>
      </c>
    </row>
    <row r="206" spans="1:11" x14ac:dyDescent="0.25">
      <c r="A206" t="s">
        <v>0</v>
      </c>
      <c r="B206" s="3">
        <v>46198</v>
      </c>
      <c r="C206">
        <v>8</v>
      </c>
      <c r="D206" s="5">
        <f>_xlfn.XLOOKUP(A206,Planilha1!H:H,Planilha1!J:J)</f>
        <v>0.89248648648648654</v>
      </c>
      <c r="E206" s="1">
        <f t="shared" si="13"/>
        <v>7.1398918918918923</v>
      </c>
      <c r="F206">
        <f>_xlfn.XLOOKUP(A206,Planilha1!H:H,Planilha1!K:K)</f>
        <v>4</v>
      </c>
      <c r="G206" s="1">
        <f t="shared" si="12"/>
        <v>0.56023257222457756</v>
      </c>
      <c r="H206" s="5">
        <f>_xlfn.XLOOKUP(A206,Planilha1!H:H,Planilha1!L:L)</f>
        <v>5.6000000000000001E-2</v>
      </c>
      <c r="I206">
        <f>_xlfn.XLOOKUP(A206,Planilha1!H:H,Planilha1!M:M)</f>
        <v>1.32</v>
      </c>
      <c r="J206" s="1">
        <f t="shared" si="14"/>
        <v>168.29745173745175</v>
      </c>
      <c r="K206" t="str">
        <f t="shared" si="15"/>
        <v>HCOR_46198</v>
      </c>
    </row>
    <row r="207" spans="1:11" x14ac:dyDescent="0.25">
      <c r="A207" t="s">
        <v>0</v>
      </c>
      <c r="B207" s="3">
        <v>46199</v>
      </c>
      <c r="C207">
        <v>7</v>
      </c>
      <c r="D207" s="5">
        <f>_xlfn.XLOOKUP(A207,Planilha1!H:H,Planilha1!J:J)</f>
        <v>0.89248648648648654</v>
      </c>
      <c r="E207" s="1">
        <f t="shared" si="13"/>
        <v>6.2474054054054058</v>
      </c>
      <c r="F207">
        <f>_xlfn.XLOOKUP(A207,Planilha1!H:H,Planilha1!K:K)</f>
        <v>4</v>
      </c>
      <c r="G207" s="1">
        <f t="shared" si="12"/>
        <v>0.6402657968280886</v>
      </c>
      <c r="H207" s="5">
        <f>_xlfn.XLOOKUP(A207,Planilha1!H:H,Planilha1!L:L)</f>
        <v>5.6000000000000001E-2</v>
      </c>
      <c r="I207">
        <f>_xlfn.XLOOKUP(A207,Planilha1!H:H,Planilha1!M:M)</f>
        <v>1.32</v>
      </c>
      <c r="J207" s="1">
        <f t="shared" si="14"/>
        <v>147.2602702702703</v>
      </c>
      <c r="K207" t="str">
        <f t="shared" si="15"/>
        <v>HCOR_46199</v>
      </c>
    </row>
    <row r="208" spans="1:11" x14ac:dyDescent="0.25">
      <c r="A208" t="s">
        <v>0</v>
      </c>
      <c r="B208" s="3">
        <v>46200</v>
      </c>
      <c r="C208">
        <v>1</v>
      </c>
      <c r="D208" s="5">
        <f>_xlfn.XLOOKUP(A208,Planilha1!H:H,Planilha1!J:J)</f>
        <v>0.89248648648648654</v>
      </c>
      <c r="E208" s="1">
        <f t="shared" si="13"/>
        <v>0.89248648648648654</v>
      </c>
      <c r="F208">
        <f>_xlfn.XLOOKUP(A208,Planilha1!H:H,Planilha1!K:K)</f>
        <v>4</v>
      </c>
      <c r="G208" s="1">
        <f t="shared" si="12"/>
        <v>4.4818605777966205</v>
      </c>
      <c r="H208" s="5">
        <f>_xlfn.XLOOKUP(A208,Planilha1!H:H,Planilha1!L:L)</f>
        <v>5.6000000000000001E-2</v>
      </c>
      <c r="I208">
        <f>_xlfn.XLOOKUP(A208,Planilha1!H:H,Planilha1!M:M)</f>
        <v>1.32</v>
      </c>
      <c r="J208" s="1">
        <f t="shared" si="14"/>
        <v>21.037181467181469</v>
      </c>
      <c r="K208" t="str">
        <f t="shared" si="15"/>
        <v>HCOR_46200</v>
      </c>
    </row>
    <row r="209" spans="1:11" x14ac:dyDescent="0.25">
      <c r="A209" t="s">
        <v>0</v>
      </c>
      <c r="B209" s="3">
        <v>46201</v>
      </c>
      <c r="C209">
        <v>0</v>
      </c>
      <c r="D209" s="5">
        <f>_xlfn.XLOOKUP(A209,Planilha1!H:H,Planilha1!J:J)</f>
        <v>0.89248648648648654</v>
      </c>
      <c r="E209" s="1">
        <f t="shared" si="13"/>
        <v>0</v>
      </c>
      <c r="F209">
        <f>_xlfn.XLOOKUP(A209,Planilha1!H:H,Planilha1!K:K)</f>
        <v>4</v>
      </c>
      <c r="G209" s="1">
        <f t="shared" si="12"/>
        <v>0</v>
      </c>
      <c r="H209" s="5">
        <f>_xlfn.XLOOKUP(A209,Planilha1!H:H,Planilha1!L:L)</f>
        <v>5.6000000000000001E-2</v>
      </c>
      <c r="I209">
        <f>_xlfn.XLOOKUP(A209,Planilha1!H:H,Planilha1!M:M)</f>
        <v>1.32</v>
      </c>
      <c r="J209" s="1">
        <f t="shared" si="14"/>
        <v>0</v>
      </c>
      <c r="K209" t="str">
        <f t="shared" si="15"/>
        <v>HCOR_46201</v>
      </c>
    </row>
    <row r="210" spans="1:11" x14ac:dyDescent="0.25">
      <c r="A210" t="s">
        <v>0</v>
      </c>
      <c r="B210" s="3">
        <v>46202</v>
      </c>
      <c r="C210">
        <v>7</v>
      </c>
      <c r="D210" s="5">
        <f>_xlfn.XLOOKUP(A210,Planilha1!H:H,Planilha1!J:J)</f>
        <v>0.89248648648648654</v>
      </c>
      <c r="E210" s="1">
        <f t="shared" si="13"/>
        <v>6.2474054054054058</v>
      </c>
      <c r="F210">
        <f>_xlfn.XLOOKUP(A210,Planilha1!H:H,Planilha1!K:K)</f>
        <v>4</v>
      </c>
      <c r="G210" s="1">
        <f t="shared" si="12"/>
        <v>0.6402657968280886</v>
      </c>
      <c r="H210" s="5">
        <f>_xlfn.XLOOKUP(A210,Planilha1!H:H,Planilha1!L:L)</f>
        <v>5.6000000000000001E-2</v>
      </c>
      <c r="I210">
        <f>_xlfn.XLOOKUP(A210,Planilha1!H:H,Planilha1!M:M)</f>
        <v>1.32</v>
      </c>
      <c r="J210" s="1">
        <f t="shared" si="14"/>
        <v>147.2602702702703</v>
      </c>
      <c r="K210" t="str">
        <f t="shared" si="15"/>
        <v>HCOR_46202</v>
      </c>
    </row>
    <row r="211" spans="1:11" x14ac:dyDescent="0.25">
      <c r="A211" t="s">
        <v>0</v>
      </c>
      <c r="B211" s="3">
        <v>46203</v>
      </c>
      <c r="C211">
        <v>7</v>
      </c>
      <c r="D211" s="5">
        <f>_xlfn.XLOOKUP(A211,Planilha1!H:H,Planilha1!J:J)</f>
        <v>0.89248648648648654</v>
      </c>
      <c r="E211" s="1">
        <f t="shared" si="13"/>
        <v>6.2474054054054058</v>
      </c>
      <c r="F211">
        <f>_xlfn.XLOOKUP(A211,Planilha1!H:H,Planilha1!K:K)</f>
        <v>4</v>
      </c>
      <c r="G211" s="1">
        <f t="shared" si="12"/>
        <v>0.6402657968280886</v>
      </c>
      <c r="H211" s="5">
        <f>_xlfn.XLOOKUP(A211,Planilha1!H:H,Planilha1!L:L)</f>
        <v>5.6000000000000001E-2</v>
      </c>
      <c r="I211">
        <f>_xlfn.XLOOKUP(A211,Planilha1!H:H,Planilha1!M:M)</f>
        <v>1.32</v>
      </c>
      <c r="J211" s="1">
        <f t="shared" si="14"/>
        <v>147.2602702702703</v>
      </c>
      <c r="K211" t="str">
        <f t="shared" si="15"/>
        <v>HCOR_46203</v>
      </c>
    </row>
    <row r="212" spans="1:11" x14ac:dyDescent="0.25">
      <c r="A212" t="s">
        <v>7</v>
      </c>
      <c r="B212" s="3">
        <v>46174</v>
      </c>
      <c r="C212">
        <v>31</v>
      </c>
      <c r="D212" s="5">
        <f>_xlfn.XLOOKUP(A212,Planilha1!H:H,Planilha1!J:J)</f>
        <v>0.81004562737642583</v>
      </c>
      <c r="E212" s="1">
        <f t="shared" si="13"/>
        <v>25.111414448669201</v>
      </c>
      <c r="F212">
        <f>_xlfn.XLOOKUP(A212,Planilha1!H:H,Planilha1!K:K)</f>
        <v>9</v>
      </c>
      <c r="G212" s="1">
        <f t="shared" si="12"/>
        <v>0.35840275020736484</v>
      </c>
      <c r="H212" s="5">
        <f>_xlfn.XLOOKUP(A212,Planilha1!H:H,Planilha1!L:L)</f>
        <v>9.5000000000000001E-2</v>
      </c>
      <c r="I212">
        <f>_xlfn.XLOOKUP(A212,Planilha1!H:H,Planilha1!M:M)</f>
        <v>1.39</v>
      </c>
      <c r="J212" s="1">
        <f t="shared" si="14"/>
        <v>367.41964298579143</v>
      </c>
      <c r="K212" t="str">
        <f t="shared" si="15"/>
        <v>Pós Artmed_46174</v>
      </c>
    </row>
    <row r="213" spans="1:11" x14ac:dyDescent="0.25">
      <c r="A213" t="s">
        <v>7</v>
      </c>
      <c r="B213" s="3">
        <v>46175</v>
      </c>
      <c r="C213">
        <v>31</v>
      </c>
      <c r="D213" s="5">
        <f>_xlfn.XLOOKUP(A213,Planilha1!H:H,Planilha1!J:J)</f>
        <v>0.81004562737642583</v>
      </c>
      <c r="E213" s="1">
        <f t="shared" si="13"/>
        <v>25.111414448669201</v>
      </c>
      <c r="F213">
        <f>_xlfn.XLOOKUP(A213,Planilha1!H:H,Planilha1!K:K)</f>
        <v>9</v>
      </c>
      <c r="G213" s="1">
        <f t="shared" si="12"/>
        <v>0.35840275020736484</v>
      </c>
      <c r="H213" s="5">
        <f>_xlfn.XLOOKUP(A213,Planilha1!H:H,Planilha1!L:L)</f>
        <v>9.5000000000000001E-2</v>
      </c>
      <c r="I213">
        <f>_xlfn.XLOOKUP(A213,Planilha1!H:H,Planilha1!M:M)</f>
        <v>1.39</v>
      </c>
      <c r="J213" s="1">
        <f t="shared" si="14"/>
        <v>367.41964298579143</v>
      </c>
      <c r="K213" t="str">
        <f t="shared" si="15"/>
        <v>Pós Artmed_46175</v>
      </c>
    </row>
    <row r="214" spans="1:11" x14ac:dyDescent="0.25">
      <c r="A214" t="s">
        <v>7</v>
      </c>
      <c r="B214" s="3">
        <v>46176</v>
      </c>
      <c r="C214">
        <v>31</v>
      </c>
      <c r="D214" s="5">
        <f>_xlfn.XLOOKUP(A214,Planilha1!H:H,Planilha1!J:J)</f>
        <v>0.81004562737642583</v>
      </c>
      <c r="E214" s="1">
        <f t="shared" si="13"/>
        <v>25.111414448669201</v>
      </c>
      <c r="F214">
        <f>_xlfn.XLOOKUP(A214,Planilha1!H:H,Planilha1!K:K)</f>
        <v>9</v>
      </c>
      <c r="G214" s="1">
        <f t="shared" si="12"/>
        <v>0.35840275020736484</v>
      </c>
      <c r="H214" s="5">
        <f>_xlfn.XLOOKUP(A214,Planilha1!H:H,Planilha1!L:L)</f>
        <v>9.5000000000000001E-2</v>
      </c>
      <c r="I214">
        <f>_xlfn.XLOOKUP(A214,Planilha1!H:H,Planilha1!M:M)</f>
        <v>1.39</v>
      </c>
      <c r="J214" s="1">
        <f t="shared" si="14"/>
        <v>367.41964298579143</v>
      </c>
      <c r="K214" t="str">
        <f t="shared" si="15"/>
        <v>Pós Artmed_46176</v>
      </c>
    </row>
    <row r="215" spans="1:11" x14ac:dyDescent="0.25">
      <c r="A215" t="s">
        <v>7</v>
      </c>
      <c r="B215" s="3">
        <v>46177</v>
      </c>
      <c r="C215">
        <v>0</v>
      </c>
      <c r="D215" s="5">
        <f>_xlfn.XLOOKUP(A215,Planilha1!H:H,Planilha1!J:J)</f>
        <v>0.81004562737642583</v>
      </c>
      <c r="E215" s="1">
        <f t="shared" si="13"/>
        <v>0</v>
      </c>
      <c r="F215">
        <f>_xlfn.XLOOKUP(A215,Planilha1!H:H,Planilha1!K:K)</f>
        <v>9</v>
      </c>
      <c r="G215" s="1">
        <f t="shared" si="12"/>
        <v>0</v>
      </c>
      <c r="H215" s="5">
        <f>_xlfn.XLOOKUP(A215,Planilha1!H:H,Planilha1!L:L)</f>
        <v>9.5000000000000001E-2</v>
      </c>
      <c r="I215">
        <f>_xlfn.XLOOKUP(A215,Planilha1!H:H,Planilha1!M:M)</f>
        <v>1.39</v>
      </c>
      <c r="J215" s="1">
        <f t="shared" si="14"/>
        <v>0</v>
      </c>
      <c r="K215" t="str">
        <f t="shared" si="15"/>
        <v>Pós Artmed_46177</v>
      </c>
    </row>
    <row r="216" spans="1:11" x14ac:dyDescent="0.25">
      <c r="A216" t="s">
        <v>7</v>
      </c>
      <c r="B216" s="3">
        <v>46178</v>
      </c>
      <c r="C216">
        <v>7</v>
      </c>
      <c r="D216" s="5">
        <f>_xlfn.XLOOKUP(A216,Planilha1!H:H,Planilha1!J:J)</f>
        <v>0.81004562737642583</v>
      </c>
      <c r="E216" s="1">
        <f t="shared" si="13"/>
        <v>5.6703193916349806</v>
      </c>
      <c r="F216">
        <f>_xlfn.XLOOKUP(A216,Planilha1!H:H,Planilha1!K:K)</f>
        <v>9</v>
      </c>
      <c r="G216" s="1">
        <f t="shared" si="12"/>
        <v>1.5872121794897587</v>
      </c>
      <c r="H216" s="5">
        <f>_xlfn.XLOOKUP(A216,Planilha1!H:H,Planilha1!L:L)</f>
        <v>9.5000000000000001E-2</v>
      </c>
      <c r="I216">
        <f>_xlfn.XLOOKUP(A216,Planilha1!H:H,Planilha1!M:M)</f>
        <v>1.39</v>
      </c>
      <c r="J216" s="1">
        <f t="shared" si="14"/>
        <v>82.965725835501289</v>
      </c>
      <c r="K216" t="str">
        <f t="shared" si="15"/>
        <v>Pós Artmed_46178</v>
      </c>
    </row>
    <row r="217" spans="1:11" x14ac:dyDescent="0.25">
      <c r="A217" t="s">
        <v>7</v>
      </c>
      <c r="B217" s="3">
        <v>46179</v>
      </c>
      <c r="C217">
        <v>3</v>
      </c>
      <c r="D217" s="5">
        <f>_xlfn.XLOOKUP(A217,Planilha1!H:H,Planilha1!J:J)</f>
        <v>0.81004562737642583</v>
      </c>
      <c r="E217" s="1">
        <f t="shared" si="13"/>
        <v>2.4301368821292773</v>
      </c>
      <c r="F217">
        <f>_xlfn.XLOOKUP(A217,Planilha1!H:H,Planilha1!K:K)</f>
        <v>9</v>
      </c>
      <c r="G217" s="1">
        <f t="shared" si="12"/>
        <v>3.7034950854761037</v>
      </c>
      <c r="H217" s="5">
        <f>_xlfn.XLOOKUP(A217,Planilha1!H:H,Planilha1!L:L)</f>
        <v>9.5000000000000001E-2</v>
      </c>
      <c r="I217">
        <f>_xlfn.XLOOKUP(A217,Planilha1!H:H,Planilha1!M:M)</f>
        <v>1.39</v>
      </c>
      <c r="J217" s="1">
        <f t="shared" si="14"/>
        <v>35.556739643786266</v>
      </c>
      <c r="K217" t="str">
        <f t="shared" si="15"/>
        <v>Pós Artmed_46179</v>
      </c>
    </row>
    <row r="218" spans="1:11" x14ac:dyDescent="0.25">
      <c r="A218" t="s">
        <v>7</v>
      </c>
      <c r="B218" s="3">
        <v>46180</v>
      </c>
      <c r="C218">
        <v>0</v>
      </c>
      <c r="D218" s="5">
        <f>_xlfn.XLOOKUP(A218,Planilha1!H:H,Planilha1!J:J)</f>
        <v>0.81004562737642583</v>
      </c>
      <c r="E218" s="1">
        <f t="shared" si="13"/>
        <v>0</v>
      </c>
      <c r="F218">
        <f>_xlfn.XLOOKUP(A218,Planilha1!H:H,Planilha1!K:K)</f>
        <v>9</v>
      </c>
      <c r="G218" s="1">
        <f t="shared" si="12"/>
        <v>0</v>
      </c>
      <c r="H218" s="5">
        <f>_xlfn.XLOOKUP(A218,Planilha1!H:H,Planilha1!L:L)</f>
        <v>9.5000000000000001E-2</v>
      </c>
      <c r="I218">
        <f>_xlfn.XLOOKUP(A218,Planilha1!H:H,Planilha1!M:M)</f>
        <v>1.39</v>
      </c>
      <c r="J218" s="1">
        <f t="shared" si="14"/>
        <v>0</v>
      </c>
      <c r="K218" t="str">
        <f t="shared" si="15"/>
        <v>Pós Artmed_46180</v>
      </c>
    </row>
    <row r="219" spans="1:11" x14ac:dyDescent="0.25">
      <c r="A219" t="s">
        <v>7</v>
      </c>
      <c r="B219" s="3">
        <v>46181</v>
      </c>
      <c r="C219">
        <v>32</v>
      </c>
      <c r="D219" s="5">
        <f>_xlfn.XLOOKUP(A219,Planilha1!H:H,Planilha1!J:J)</f>
        <v>0.81004562737642583</v>
      </c>
      <c r="E219" s="1">
        <f t="shared" si="13"/>
        <v>25.921460076045626</v>
      </c>
      <c r="F219">
        <f>_xlfn.XLOOKUP(A219,Planilha1!H:H,Planilha1!K:K)</f>
        <v>9</v>
      </c>
      <c r="G219" s="1">
        <f t="shared" si="12"/>
        <v>0.3472026642633847</v>
      </c>
      <c r="H219" s="5">
        <f>_xlfn.XLOOKUP(A219,Planilha1!H:H,Planilha1!L:L)</f>
        <v>9.5000000000000001E-2</v>
      </c>
      <c r="I219">
        <f>_xlfn.XLOOKUP(A219,Planilha1!H:H,Planilha1!M:M)</f>
        <v>1.39</v>
      </c>
      <c r="J219" s="1">
        <f t="shared" si="14"/>
        <v>379.27188953372018</v>
      </c>
      <c r="K219" t="str">
        <f t="shared" si="15"/>
        <v>Pós Artmed_46181</v>
      </c>
    </row>
    <row r="220" spans="1:11" x14ac:dyDescent="0.25">
      <c r="A220" t="s">
        <v>7</v>
      </c>
      <c r="B220" s="3">
        <v>46182</v>
      </c>
      <c r="C220">
        <v>32</v>
      </c>
      <c r="D220" s="5">
        <f>_xlfn.XLOOKUP(A220,Planilha1!H:H,Planilha1!J:J)</f>
        <v>0.81004562737642583</v>
      </c>
      <c r="E220" s="1">
        <f t="shared" si="13"/>
        <v>25.921460076045626</v>
      </c>
      <c r="F220">
        <f>_xlfn.XLOOKUP(A220,Planilha1!H:H,Planilha1!K:K)</f>
        <v>9</v>
      </c>
      <c r="G220" s="1">
        <f t="shared" si="12"/>
        <v>0.3472026642633847</v>
      </c>
      <c r="H220" s="5">
        <f>_xlfn.XLOOKUP(A220,Planilha1!H:H,Planilha1!L:L)</f>
        <v>9.5000000000000001E-2</v>
      </c>
      <c r="I220">
        <f>_xlfn.XLOOKUP(A220,Planilha1!H:H,Planilha1!M:M)</f>
        <v>1.39</v>
      </c>
      <c r="J220" s="1">
        <f t="shared" si="14"/>
        <v>379.27188953372018</v>
      </c>
      <c r="K220" t="str">
        <f t="shared" si="15"/>
        <v>Pós Artmed_46182</v>
      </c>
    </row>
    <row r="221" spans="1:11" x14ac:dyDescent="0.25">
      <c r="A221" t="s">
        <v>7</v>
      </c>
      <c r="B221" s="3">
        <v>46183</v>
      </c>
      <c r="C221">
        <v>27</v>
      </c>
      <c r="D221" s="5">
        <f>_xlfn.XLOOKUP(A221,Planilha1!H:H,Planilha1!J:J)</f>
        <v>0.81004562737642583</v>
      </c>
      <c r="E221" s="1">
        <f t="shared" si="13"/>
        <v>21.871231939163497</v>
      </c>
      <c r="F221">
        <f>_xlfn.XLOOKUP(A221,Planilha1!H:H,Planilha1!K:K)</f>
        <v>9</v>
      </c>
      <c r="G221" s="1">
        <f t="shared" si="12"/>
        <v>0.41149945394178927</v>
      </c>
      <c r="H221" s="5">
        <f>_xlfn.XLOOKUP(A221,Planilha1!H:H,Planilha1!L:L)</f>
        <v>9.5000000000000001E-2</v>
      </c>
      <c r="I221">
        <f>_xlfn.XLOOKUP(A221,Planilha1!H:H,Planilha1!M:M)</f>
        <v>1.39</v>
      </c>
      <c r="J221" s="1">
        <f t="shared" si="14"/>
        <v>320.0106567940764</v>
      </c>
      <c r="K221" t="str">
        <f t="shared" si="15"/>
        <v>Pós Artmed_46183</v>
      </c>
    </row>
    <row r="222" spans="1:11" x14ac:dyDescent="0.25">
      <c r="A222" t="s">
        <v>7</v>
      </c>
      <c r="B222" s="3">
        <v>46184</v>
      </c>
      <c r="C222">
        <v>28</v>
      </c>
      <c r="D222" s="5">
        <f>_xlfn.XLOOKUP(A222,Planilha1!H:H,Planilha1!J:J)</f>
        <v>0.81004562737642583</v>
      </c>
      <c r="E222" s="1">
        <f t="shared" si="13"/>
        <v>22.681277566539922</v>
      </c>
      <c r="F222">
        <f>_xlfn.XLOOKUP(A222,Planilha1!H:H,Planilha1!K:K)</f>
        <v>9</v>
      </c>
      <c r="G222" s="1">
        <f t="shared" si="12"/>
        <v>0.39680304487243967</v>
      </c>
      <c r="H222" s="5">
        <f>_xlfn.XLOOKUP(A222,Planilha1!H:H,Planilha1!L:L)</f>
        <v>9.5000000000000001E-2</v>
      </c>
      <c r="I222">
        <f>_xlfn.XLOOKUP(A222,Planilha1!H:H,Planilha1!M:M)</f>
        <v>1.39</v>
      </c>
      <c r="J222" s="1">
        <f t="shared" si="14"/>
        <v>331.86290334200515</v>
      </c>
      <c r="K222" t="str">
        <f t="shared" si="15"/>
        <v>Pós Artmed_46184</v>
      </c>
    </row>
    <row r="223" spans="1:11" x14ac:dyDescent="0.25">
      <c r="A223" t="s">
        <v>7</v>
      </c>
      <c r="B223" s="3">
        <v>46185</v>
      </c>
      <c r="C223">
        <v>23</v>
      </c>
      <c r="D223" s="5">
        <f>_xlfn.XLOOKUP(A223,Planilha1!H:H,Planilha1!J:J)</f>
        <v>0.81004562737642583</v>
      </c>
      <c r="E223" s="1">
        <f t="shared" si="13"/>
        <v>18.631049429657793</v>
      </c>
      <c r="F223">
        <f>_xlfn.XLOOKUP(A223,Planilha1!H:H,Planilha1!K:K)</f>
        <v>9</v>
      </c>
      <c r="G223" s="1">
        <f t="shared" si="12"/>
        <v>0.48306457636644828</v>
      </c>
      <c r="H223" s="5">
        <f>_xlfn.XLOOKUP(A223,Planilha1!H:H,Planilha1!L:L)</f>
        <v>9.5000000000000001E-2</v>
      </c>
      <c r="I223">
        <f>_xlfn.XLOOKUP(A223,Planilha1!H:H,Planilha1!M:M)</f>
        <v>1.39</v>
      </c>
      <c r="J223" s="1">
        <f t="shared" si="14"/>
        <v>272.60167060236137</v>
      </c>
      <c r="K223" t="str">
        <f t="shared" si="15"/>
        <v>Pós Artmed_46185</v>
      </c>
    </row>
    <row r="224" spans="1:11" x14ac:dyDescent="0.25">
      <c r="A224" t="s">
        <v>7</v>
      </c>
      <c r="B224" s="3">
        <v>46186</v>
      </c>
      <c r="C224">
        <v>0</v>
      </c>
      <c r="D224" s="5">
        <f>_xlfn.XLOOKUP(A224,Planilha1!H:H,Planilha1!J:J)</f>
        <v>0.81004562737642583</v>
      </c>
      <c r="E224" s="1">
        <f t="shared" si="13"/>
        <v>0</v>
      </c>
      <c r="F224">
        <f>_xlfn.XLOOKUP(A224,Planilha1!H:H,Planilha1!K:K)</f>
        <v>9</v>
      </c>
      <c r="G224" s="1">
        <f t="shared" si="12"/>
        <v>0</v>
      </c>
      <c r="H224" s="5">
        <f>_xlfn.XLOOKUP(A224,Planilha1!H:H,Planilha1!L:L)</f>
        <v>9.5000000000000001E-2</v>
      </c>
      <c r="I224">
        <f>_xlfn.XLOOKUP(A224,Planilha1!H:H,Planilha1!M:M)</f>
        <v>1.39</v>
      </c>
      <c r="J224" s="1">
        <f t="shared" si="14"/>
        <v>0</v>
      </c>
      <c r="K224" t="str">
        <f t="shared" si="15"/>
        <v>Pós Artmed_46186</v>
      </c>
    </row>
    <row r="225" spans="1:11" x14ac:dyDescent="0.25">
      <c r="A225" t="s">
        <v>7</v>
      </c>
      <c r="B225" s="3">
        <v>46187</v>
      </c>
      <c r="C225">
        <v>0</v>
      </c>
      <c r="D225" s="5">
        <f>_xlfn.XLOOKUP(A225,Planilha1!H:H,Planilha1!J:J)</f>
        <v>0.81004562737642583</v>
      </c>
      <c r="E225" s="1">
        <f t="shared" si="13"/>
        <v>0</v>
      </c>
      <c r="F225">
        <f>_xlfn.XLOOKUP(A225,Planilha1!H:H,Planilha1!K:K)</f>
        <v>9</v>
      </c>
      <c r="G225" s="1">
        <f t="shared" si="12"/>
        <v>0</v>
      </c>
      <c r="H225" s="5">
        <f>_xlfn.XLOOKUP(A225,Planilha1!H:H,Planilha1!L:L)</f>
        <v>9.5000000000000001E-2</v>
      </c>
      <c r="I225">
        <f>_xlfn.XLOOKUP(A225,Planilha1!H:H,Planilha1!M:M)</f>
        <v>1.39</v>
      </c>
      <c r="J225" s="1">
        <f t="shared" si="14"/>
        <v>0</v>
      </c>
      <c r="K225" t="str">
        <f t="shared" si="15"/>
        <v>Pós Artmed_46187</v>
      </c>
    </row>
    <row r="226" spans="1:11" x14ac:dyDescent="0.25">
      <c r="A226" t="s">
        <v>7</v>
      </c>
      <c r="B226" s="3">
        <v>46188</v>
      </c>
      <c r="C226">
        <v>23</v>
      </c>
      <c r="D226" s="5">
        <f>_xlfn.XLOOKUP(A226,Planilha1!H:H,Planilha1!J:J)</f>
        <v>0.81004562737642583</v>
      </c>
      <c r="E226" s="1">
        <f t="shared" si="13"/>
        <v>18.631049429657793</v>
      </c>
      <c r="F226">
        <f>_xlfn.XLOOKUP(A226,Planilha1!H:H,Planilha1!K:K)</f>
        <v>9</v>
      </c>
      <c r="G226" s="1">
        <f t="shared" si="12"/>
        <v>0.48306457636644828</v>
      </c>
      <c r="H226" s="5">
        <f>_xlfn.XLOOKUP(A226,Planilha1!H:H,Planilha1!L:L)</f>
        <v>9.5000000000000001E-2</v>
      </c>
      <c r="I226">
        <f>_xlfn.XLOOKUP(A226,Planilha1!H:H,Planilha1!M:M)</f>
        <v>1.39</v>
      </c>
      <c r="J226" s="1">
        <f t="shared" si="14"/>
        <v>272.60167060236137</v>
      </c>
      <c r="K226" t="str">
        <f t="shared" si="15"/>
        <v>Pós Artmed_46188</v>
      </c>
    </row>
    <row r="227" spans="1:11" x14ac:dyDescent="0.25">
      <c r="A227" t="s">
        <v>7</v>
      </c>
      <c r="B227" s="3">
        <v>46189</v>
      </c>
      <c r="C227">
        <v>23</v>
      </c>
      <c r="D227" s="5">
        <f>_xlfn.XLOOKUP(A227,Planilha1!H:H,Planilha1!J:J)</f>
        <v>0.81004562737642583</v>
      </c>
      <c r="E227" s="1">
        <f t="shared" si="13"/>
        <v>18.631049429657793</v>
      </c>
      <c r="F227">
        <f>_xlfn.XLOOKUP(A227,Planilha1!H:H,Planilha1!K:K)</f>
        <v>9</v>
      </c>
      <c r="G227" s="1">
        <f t="shared" si="12"/>
        <v>0.48306457636644828</v>
      </c>
      <c r="H227" s="5">
        <f>_xlfn.XLOOKUP(A227,Planilha1!H:H,Planilha1!L:L)</f>
        <v>9.5000000000000001E-2</v>
      </c>
      <c r="I227">
        <f>_xlfn.XLOOKUP(A227,Planilha1!H:H,Planilha1!M:M)</f>
        <v>1.39</v>
      </c>
      <c r="J227" s="1">
        <f t="shared" si="14"/>
        <v>272.60167060236137</v>
      </c>
      <c r="K227" t="str">
        <f t="shared" si="15"/>
        <v>Pós Artmed_46189</v>
      </c>
    </row>
    <row r="228" spans="1:11" x14ac:dyDescent="0.25">
      <c r="A228" t="s">
        <v>7</v>
      </c>
      <c r="B228" s="3">
        <v>46190</v>
      </c>
      <c r="C228">
        <v>23</v>
      </c>
      <c r="D228" s="5">
        <f>_xlfn.XLOOKUP(A228,Planilha1!H:H,Planilha1!J:J)</f>
        <v>0.81004562737642583</v>
      </c>
      <c r="E228" s="1">
        <f t="shared" si="13"/>
        <v>18.631049429657793</v>
      </c>
      <c r="F228">
        <f>_xlfn.XLOOKUP(A228,Planilha1!H:H,Planilha1!K:K)</f>
        <v>9</v>
      </c>
      <c r="G228" s="1">
        <f t="shared" si="12"/>
        <v>0.48306457636644828</v>
      </c>
      <c r="H228" s="5">
        <f>_xlfn.XLOOKUP(A228,Planilha1!H:H,Planilha1!L:L)</f>
        <v>9.5000000000000001E-2</v>
      </c>
      <c r="I228">
        <f>_xlfn.XLOOKUP(A228,Planilha1!H:H,Planilha1!M:M)</f>
        <v>1.39</v>
      </c>
      <c r="J228" s="1">
        <f t="shared" si="14"/>
        <v>272.60167060236137</v>
      </c>
      <c r="K228" t="str">
        <f t="shared" si="15"/>
        <v>Pós Artmed_46190</v>
      </c>
    </row>
    <row r="229" spans="1:11" x14ac:dyDescent="0.25">
      <c r="A229" t="s">
        <v>7</v>
      </c>
      <c r="B229" s="3">
        <v>46191</v>
      </c>
      <c r="C229">
        <v>23</v>
      </c>
      <c r="D229" s="5">
        <f>_xlfn.XLOOKUP(A229,Planilha1!H:H,Planilha1!J:J)</f>
        <v>0.81004562737642583</v>
      </c>
      <c r="E229" s="1">
        <f t="shared" si="13"/>
        <v>18.631049429657793</v>
      </c>
      <c r="F229">
        <f>_xlfn.XLOOKUP(A229,Planilha1!H:H,Planilha1!K:K)</f>
        <v>9</v>
      </c>
      <c r="G229" s="1">
        <f t="shared" si="12"/>
        <v>0.48306457636644828</v>
      </c>
      <c r="H229" s="5">
        <f>_xlfn.XLOOKUP(A229,Planilha1!H:H,Planilha1!L:L)</f>
        <v>9.5000000000000001E-2</v>
      </c>
      <c r="I229">
        <f>_xlfn.XLOOKUP(A229,Planilha1!H:H,Planilha1!M:M)</f>
        <v>1.39</v>
      </c>
      <c r="J229" s="1">
        <f t="shared" si="14"/>
        <v>272.60167060236137</v>
      </c>
      <c r="K229" t="str">
        <f t="shared" si="15"/>
        <v>Pós Artmed_46191</v>
      </c>
    </row>
    <row r="230" spans="1:11" x14ac:dyDescent="0.25">
      <c r="A230" t="s">
        <v>7</v>
      </c>
      <c r="B230" s="3">
        <v>46192</v>
      </c>
      <c r="C230">
        <v>23</v>
      </c>
      <c r="D230" s="5">
        <f>_xlfn.XLOOKUP(A230,Planilha1!H:H,Planilha1!J:J)</f>
        <v>0.81004562737642583</v>
      </c>
      <c r="E230" s="1">
        <f t="shared" si="13"/>
        <v>18.631049429657793</v>
      </c>
      <c r="F230">
        <f>_xlfn.XLOOKUP(A230,Planilha1!H:H,Planilha1!K:K)</f>
        <v>9</v>
      </c>
      <c r="G230" s="1">
        <f t="shared" si="12"/>
        <v>0.48306457636644828</v>
      </c>
      <c r="H230" s="5">
        <f>_xlfn.XLOOKUP(A230,Planilha1!H:H,Planilha1!L:L)</f>
        <v>9.5000000000000001E-2</v>
      </c>
      <c r="I230">
        <f>_xlfn.XLOOKUP(A230,Planilha1!H:H,Planilha1!M:M)</f>
        <v>1.39</v>
      </c>
      <c r="J230" s="1">
        <f t="shared" si="14"/>
        <v>272.60167060236137</v>
      </c>
      <c r="K230" t="str">
        <f t="shared" si="15"/>
        <v>Pós Artmed_46192</v>
      </c>
    </row>
    <row r="231" spans="1:11" x14ac:dyDescent="0.25">
      <c r="A231" t="s">
        <v>7</v>
      </c>
      <c r="B231" s="3">
        <v>46193</v>
      </c>
      <c r="C231">
        <v>0</v>
      </c>
      <c r="D231" s="5">
        <f>_xlfn.XLOOKUP(A231,Planilha1!H:H,Planilha1!J:J)</f>
        <v>0.81004562737642583</v>
      </c>
      <c r="E231" s="1">
        <f t="shared" si="13"/>
        <v>0</v>
      </c>
      <c r="F231">
        <f>_xlfn.XLOOKUP(A231,Planilha1!H:H,Planilha1!K:K)</f>
        <v>9</v>
      </c>
      <c r="G231" s="1">
        <f t="shared" si="12"/>
        <v>0</v>
      </c>
      <c r="H231" s="5">
        <f>_xlfn.XLOOKUP(A231,Planilha1!H:H,Planilha1!L:L)</f>
        <v>9.5000000000000001E-2</v>
      </c>
      <c r="I231">
        <f>_xlfn.XLOOKUP(A231,Planilha1!H:H,Planilha1!M:M)</f>
        <v>1.39</v>
      </c>
      <c r="J231" s="1">
        <f t="shared" si="14"/>
        <v>0</v>
      </c>
      <c r="K231" t="str">
        <f t="shared" si="15"/>
        <v>Pós Artmed_46193</v>
      </c>
    </row>
    <row r="232" spans="1:11" x14ac:dyDescent="0.25">
      <c r="A232" t="s">
        <v>7</v>
      </c>
      <c r="B232" s="3">
        <v>46194</v>
      </c>
      <c r="C232">
        <v>0</v>
      </c>
      <c r="D232" s="5">
        <f>_xlfn.XLOOKUP(A232,Planilha1!H:H,Planilha1!J:J)</f>
        <v>0.81004562737642583</v>
      </c>
      <c r="E232" s="1">
        <f t="shared" si="13"/>
        <v>0</v>
      </c>
      <c r="F232">
        <f>_xlfn.XLOOKUP(A232,Planilha1!H:H,Planilha1!K:K)</f>
        <v>9</v>
      </c>
      <c r="G232" s="1">
        <f t="shared" si="12"/>
        <v>0</v>
      </c>
      <c r="H232" s="5">
        <f>_xlfn.XLOOKUP(A232,Planilha1!H:H,Planilha1!L:L)</f>
        <v>9.5000000000000001E-2</v>
      </c>
      <c r="I232">
        <f>_xlfn.XLOOKUP(A232,Planilha1!H:H,Planilha1!M:M)</f>
        <v>1.39</v>
      </c>
      <c r="J232" s="1">
        <f t="shared" si="14"/>
        <v>0</v>
      </c>
      <c r="K232" t="str">
        <f t="shared" si="15"/>
        <v>Pós Artmed_46194</v>
      </c>
    </row>
    <row r="233" spans="1:11" x14ac:dyDescent="0.25">
      <c r="A233" t="s">
        <v>7</v>
      </c>
      <c r="B233" s="3">
        <v>46195</v>
      </c>
      <c r="C233">
        <v>25</v>
      </c>
      <c r="D233" s="5">
        <f>_xlfn.XLOOKUP(A233,Planilha1!H:H,Planilha1!J:J)</f>
        <v>0.81004562737642583</v>
      </c>
      <c r="E233" s="1">
        <f t="shared" si="13"/>
        <v>20.251140684410647</v>
      </c>
      <c r="F233">
        <f>_xlfn.XLOOKUP(A233,Planilha1!H:H,Planilha1!K:K)</f>
        <v>9</v>
      </c>
      <c r="G233" s="1">
        <f t="shared" si="12"/>
        <v>0.44441941025713239</v>
      </c>
      <c r="H233" s="5">
        <f>_xlfn.XLOOKUP(A233,Planilha1!H:H,Planilha1!L:L)</f>
        <v>9.5000000000000001E-2</v>
      </c>
      <c r="I233">
        <f>_xlfn.XLOOKUP(A233,Planilha1!H:H,Planilha1!M:M)</f>
        <v>1.39</v>
      </c>
      <c r="J233" s="1">
        <f t="shared" si="14"/>
        <v>296.30616369821894</v>
      </c>
      <c r="K233" t="str">
        <f t="shared" si="15"/>
        <v>Pós Artmed_46195</v>
      </c>
    </row>
    <row r="234" spans="1:11" x14ac:dyDescent="0.25">
      <c r="A234" t="s">
        <v>7</v>
      </c>
      <c r="B234" s="3">
        <v>46196</v>
      </c>
      <c r="C234">
        <v>25</v>
      </c>
      <c r="D234" s="5">
        <f>_xlfn.XLOOKUP(A234,Planilha1!H:H,Planilha1!J:J)</f>
        <v>0.81004562737642583</v>
      </c>
      <c r="E234" s="1">
        <f t="shared" si="13"/>
        <v>20.251140684410647</v>
      </c>
      <c r="F234">
        <f>_xlfn.XLOOKUP(A234,Planilha1!H:H,Planilha1!K:K)</f>
        <v>9</v>
      </c>
      <c r="G234" s="1">
        <f t="shared" si="12"/>
        <v>0.44441941025713239</v>
      </c>
      <c r="H234" s="5">
        <f>_xlfn.XLOOKUP(A234,Planilha1!H:H,Planilha1!L:L)</f>
        <v>9.5000000000000001E-2</v>
      </c>
      <c r="I234">
        <f>_xlfn.XLOOKUP(A234,Planilha1!H:H,Planilha1!M:M)</f>
        <v>1.39</v>
      </c>
      <c r="J234" s="1">
        <f t="shared" si="14"/>
        <v>296.30616369821894</v>
      </c>
      <c r="K234" t="str">
        <f t="shared" si="15"/>
        <v>Pós Artmed_46196</v>
      </c>
    </row>
    <row r="235" spans="1:11" x14ac:dyDescent="0.25">
      <c r="A235" t="s">
        <v>7</v>
      </c>
      <c r="B235" s="3">
        <v>46197</v>
      </c>
      <c r="C235">
        <v>18</v>
      </c>
      <c r="D235" s="5">
        <f>_xlfn.XLOOKUP(A235,Planilha1!H:H,Planilha1!J:J)</f>
        <v>0.81004562737642583</v>
      </c>
      <c r="E235" s="1">
        <f t="shared" si="13"/>
        <v>14.580821292775665</v>
      </c>
      <c r="F235">
        <f>_xlfn.XLOOKUP(A235,Planilha1!H:H,Planilha1!K:K)</f>
        <v>9</v>
      </c>
      <c r="G235" s="1">
        <f t="shared" si="12"/>
        <v>0.61724918091268388</v>
      </c>
      <c r="H235" s="5">
        <f>_xlfn.XLOOKUP(A235,Planilha1!H:H,Planilha1!L:L)</f>
        <v>9.5000000000000001E-2</v>
      </c>
      <c r="I235">
        <f>_xlfn.XLOOKUP(A235,Planilha1!H:H,Planilha1!M:M)</f>
        <v>1.39</v>
      </c>
      <c r="J235" s="1">
        <f t="shared" si="14"/>
        <v>213.34043786271761</v>
      </c>
      <c r="K235" t="str">
        <f t="shared" si="15"/>
        <v>Pós Artmed_46197</v>
      </c>
    </row>
    <row r="236" spans="1:11" x14ac:dyDescent="0.25">
      <c r="A236" t="s">
        <v>7</v>
      </c>
      <c r="B236" s="3">
        <v>46198</v>
      </c>
      <c r="C236">
        <v>25</v>
      </c>
      <c r="D236" s="5">
        <f>_xlfn.XLOOKUP(A236,Planilha1!H:H,Planilha1!J:J)</f>
        <v>0.81004562737642583</v>
      </c>
      <c r="E236" s="1">
        <f t="shared" si="13"/>
        <v>20.251140684410647</v>
      </c>
      <c r="F236">
        <f>_xlfn.XLOOKUP(A236,Planilha1!H:H,Planilha1!K:K)</f>
        <v>9</v>
      </c>
      <c r="G236" s="1">
        <f t="shared" si="12"/>
        <v>0.44441941025713239</v>
      </c>
      <c r="H236" s="5">
        <f>_xlfn.XLOOKUP(A236,Planilha1!H:H,Planilha1!L:L)</f>
        <v>9.5000000000000001E-2</v>
      </c>
      <c r="I236">
        <f>_xlfn.XLOOKUP(A236,Planilha1!H:H,Planilha1!M:M)</f>
        <v>1.39</v>
      </c>
      <c r="J236" s="1">
        <f t="shared" si="14"/>
        <v>296.30616369821894</v>
      </c>
      <c r="K236" t="str">
        <f t="shared" si="15"/>
        <v>Pós Artmed_46198</v>
      </c>
    </row>
    <row r="237" spans="1:11" x14ac:dyDescent="0.25">
      <c r="A237" t="s">
        <v>7</v>
      </c>
      <c r="B237" s="3">
        <v>46199</v>
      </c>
      <c r="C237">
        <v>25</v>
      </c>
      <c r="D237" s="5">
        <f>_xlfn.XLOOKUP(A237,Planilha1!H:H,Planilha1!J:J)</f>
        <v>0.81004562737642583</v>
      </c>
      <c r="E237" s="1">
        <f t="shared" si="13"/>
        <v>20.251140684410647</v>
      </c>
      <c r="F237">
        <f>_xlfn.XLOOKUP(A237,Planilha1!H:H,Planilha1!K:K)</f>
        <v>9</v>
      </c>
      <c r="G237" s="1">
        <f t="shared" si="12"/>
        <v>0.44441941025713239</v>
      </c>
      <c r="H237" s="5">
        <f>_xlfn.XLOOKUP(A237,Planilha1!H:H,Planilha1!L:L)</f>
        <v>9.5000000000000001E-2</v>
      </c>
      <c r="I237">
        <f>_xlfn.XLOOKUP(A237,Planilha1!H:H,Planilha1!M:M)</f>
        <v>1.39</v>
      </c>
      <c r="J237" s="1">
        <f t="shared" si="14"/>
        <v>296.30616369821894</v>
      </c>
      <c r="K237" t="str">
        <f t="shared" si="15"/>
        <v>Pós Artmed_46199</v>
      </c>
    </row>
    <row r="238" spans="1:11" x14ac:dyDescent="0.25">
      <c r="A238" t="s">
        <v>7</v>
      </c>
      <c r="B238" s="3">
        <v>46200</v>
      </c>
      <c r="C238">
        <v>3</v>
      </c>
      <c r="D238" s="5">
        <f>_xlfn.XLOOKUP(A238,Planilha1!H:H,Planilha1!J:J)</f>
        <v>0.81004562737642583</v>
      </c>
      <c r="E238" s="1">
        <f t="shared" si="13"/>
        <v>2.4301368821292773</v>
      </c>
      <c r="F238">
        <f>_xlfn.XLOOKUP(A238,Planilha1!H:H,Planilha1!K:K)</f>
        <v>9</v>
      </c>
      <c r="G238" s="1">
        <f t="shared" si="12"/>
        <v>3.7034950854761037</v>
      </c>
      <c r="H238" s="5">
        <f>_xlfn.XLOOKUP(A238,Planilha1!H:H,Planilha1!L:L)</f>
        <v>9.5000000000000001E-2</v>
      </c>
      <c r="I238">
        <f>_xlfn.XLOOKUP(A238,Planilha1!H:H,Planilha1!M:M)</f>
        <v>1.39</v>
      </c>
      <c r="J238" s="1">
        <f t="shared" si="14"/>
        <v>35.556739643786266</v>
      </c>
      <c r="K238" t="str">
        <f t="shared" si="15"/>
        <v>Pós Artmed_46200</v>
      </c>
    </row>
    <row r="239" spans="1:11" x14ac:dyDescent="0.25">
      <c r="A239" t="s">
        <v>7</v>
      </c>
      <c r="B239" s="3">
        <v>46201</v>
      </c>
      <c r="C239">
        <v>0</v>
      </c>
      <c r="D239" s="5">
        <f>_xlfn.XLOOKUP(A239,Planilha1!H:H,Planilha1!J:J)</f>
        <v>0.81004562737642583</v>
      </c>
      <c r="E239" s="1">
        <f t="shared" si="13"/>
        <v>0</v>
      </c>
      <c r="F239">
        <f>_xlfn.XLOOKUP(A239,Planilha1!H:H,Planilha1!K:K)</f>
        <v>9</v>
      </c>
      <c r="G239" s="1">
        <f t="shared" si="12"/>
        <v>0</v>
      </c>
      <c r="H239" s="5">
        <f>_xlfn.XLOOKUP(A239,Planilha1!H:H,Planilha1!L:L)</f>
        <v>9.5000000000000001E-2</v>
      </c>
      <c r="I239">
        <f>_xlfn.XLOOKUP(A239,Planilha1!H:H,Planilha1!M:M)</f>
        <v>1.39</v>
      </c>
      <c r="J239" s="1">
        <f t="shared" si="14"/>
        <v>0</v>
      </c>
      <c r="K239" t="str">
        <f t="shared" si="15"/>
        <v>Pós Artmed_46201</v>
      </c>
    </row>
    <row r="240" spans="1:11" x14ac:dyDescent="0.25">
      <c r="A240" t="s">
        <v>7</v>
      </c>
      <c r="B240" s="3">
        <v>46202</v>
      </c>
      <c r="C240">
        <v>22</v>
      </c>
      <c r="D240" s="5">
        <f>_xlfn.XLOOKUP(A240,Planilha1!H:H,Planilha1!J:J)</f>
        <v>0.81004562737642583</v>
      </c>
      <c r="E240" s="1">
        <f t="shared" si="13"/>
        <v>17.821003802281368</v>
      </c>
      <c r="F240">
        <f>_xlfn.XLOOKUP(A240,Planilha1!H:H,Planilha1!K:K)</f>
        <v>9</v>
      </c>
      <c r="G240" s="1">
        <f t="shared" si="12"/>
        <v>0.50502205711037773</v>
      </c>
      <c r="H240" s="5">
        <f>_xlfn.XLOOKUP(A240,Planilha1!H:H,Planilha1!L:L)</f>
        <v>9.5000000000000001E-2</v>
      </c>
      <c r="I240">
        <f>_xlfn.XLOOKUP(A240,Planilha1!H:H,Planilha1!M:M)</f>
        <v>1.39</v>
      </c>
      <c r="J240" s="1">
        <f t="shared" si="14"/>
        <v>260.74942405443261</v>
      </c>
      <c r="K240" t="str">
        <f t="shared" si="15"/>
        <v>Pós Artmed_46202</v>
      </c>
    </row>
    <row r="241" spans="1:11" x14ac:dyDescent="0.25">
      <c r="A241" t="s">
        <v>7</v>
      </c>
      <c r="B241" s="3">
        <v>46203</v>
      </c>
      <c r="C241">
        <v>23</v>
      </c>
      <c r="D241" s="5">
        <f>_xlfn.XLOOKUP(A241,Planilha1!H:H,Planilha1!J:J)</f>
        <v>0.81004562737642583</v>
      </c>
      <c r="E241" s="1">
        <f t="shared" si="13"/>
        <v>18.631049429657793</v>
      </c>
      <c r="F241">
        <f>_xlfn.XLOOKUP(A241,Planilha1!H:H,Planilha1!K:K)</f>
        <v>9</v>
      </c>
      <c r="G241" s="1">
        <f>IFERROR(F241/E241,0)</f>
        <v>0.48306457636644828</v>
      </c>
      <c r="H241" s="5">
        <f>_xlfn.XLOOKUP(A241,Planilha1!H:H,Planilha1!L:L)</f>
        <v>9.5000000000000001E-2</v>
      </c>
      <c r="I241">
        <f>_xlfn.XLOOKUP(A241,Planilha1!H:H,Planilha1!M:M)</f>
        <v>1.39</v>
      </c>
      <c r="J241" s="1">
        <f t="shared" si="14"/>
        <v>272.60167060236137</v>
      </c>
      <c r="K241" t="str">
        <f t="shared" si="15"/>
        <v>Pós Artmed_46203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meta_dia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Rodrigues de Paula Conceição</dc:creator>
  <cp:lastModifiedBy>Wellington Rodrigues de Paula Conceição</cp:lastModifiedBy>
  <dcterms:created xsi:type="dcterms:W3CDTF">2026-06-01T18:21:31Z</dcterms:created>
  <dcterms:modified xsi:type="dcterms:W3CDTF">2026-06-11T18:33:34Z</dcterms:modified>
</cp:coreProperties>
</file>